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96D0506E26B84DBC/Videos/"/>
    </mc:Choice>
  </mc:AlternateContent>
  <xr:revisionPtr revIDLastSave="9" documentId="8_{CB6E776F-1388-436C-B06C-F98C4869C5B7}" xr6:coauthVersionLast="47" xr6:coauthVersionMax="47" xr10:uidLastSave="{3E7BEB05-528B-4BA4-B447-C7A767A6EBF4}"/>
  <bookViews>
    <workbookView xWindow="-108" yWindow="-108" windowWidth="23256" windowHeight="12456" xr2:uid="{00000000-000D-0000-FFFF-FFFF00000000}"/>
  </bookViews>
  <sheets>
    <sheet name="Dashboard" sheetId="14" r:id="rId1"/>
    <sheet name="Cleaned Data" sheetId="2" r:id="rId2"/>
    <sheet name="Raw data" sheetId="15" r:id="rId3"/>
    <sheet name="Regional Analysis" sheetId="5" r:id="rId4"/>
    <sheet name="Product Analysis" sheetId="7" r:id="rId5"/>
    <sheet name="Monthly Analysis" sheetId="11" r:id="rId6"/>
  </sheets>
  <definedNames>
    <definedName name="Slicer_Category">#N/A</definedName>
    <definedName name="Slicer_Channel">#N/A</definedName>
    <definedName name="Slicer_Region">#N/A</definedName>
  </definedNames>
  <calcPr calcId="191029"/>
  <pivotCaches>
    <pivotCache cacheId="4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2" l="1"/>
  <c r="P95" i="2" s="1"/>
  <c r="K122" i="2"/>
  <c r="P91" i="2" s="1"/>
  <c r="L122" i="2"/>
  <c r="P93" i="2" s="1"/>
  <c r="I122" i="2"/>
  <c r="R7" i="14"/>
  <c r="J7" i="14"/>
  <c r="F7" i="14"/>
  <c r="B7" i="14"/>
  <c r="N7" i="14" l="1"/>
  <c r="P99" i="2"/>
</calcChain>
</file>

<file path=xl/sharedStrings.xml><?xml version="1.0" encoding="utf-8"?>
<sst xmlns="http://schemas.openxmlformats.org/spreadsheetml/2006/main" count="1569" uniqueCount="230">
  <si>
    <t>Revenue</t>
  </si>
  <si>
    <t>Profit</t>
  </si>
  <si>
    <t>Order ID</t>
  </si>
  <si>
    <t>Order Date</t>
  </si>
  <si>
    <t>City</t>
  </si>
  <si>
    <t>Region</t>
  </si>
  <si>
    <t>Channel</t>
  </si>
  <si>
    <t>Product</t>
  </si>
  <si>
    <t>Category</t>
  </si>
  <si>
    <t>Quantity</t>
  </si>
  <si>
    <t>Unit Price</t>
  </si>
  <si>
    <t>Discount</t>
  </si>
  <si>
    <t>Customer Rating</t>
  </si>
  <si>
    <t>ORD-0001</t>
  </si>
  <si>
    <t>Delhi</t>
  </si>
  <si>
    <t>North</t>
  </si>
  <si>
    <t>Store</t>
  </si>
  <si>
    <t>Water Bottle</t>
  </si>
  <si>
    <t>Lifestyle</t>
  </si>
  <si>
    <t>ORD-0002</t>
  </si>
  <si>
    <t>Bengaluru</t>
  </si>
  <si>
    <t>South</t>
  </si>
  <si>
    <t>Online</t>
  </si>
  <si>
    <t>Notebook Set</t>
  </si>
  <si>
    <t>Stationery</t>
  </si>
  <si>
    <t>ORD-0003</t>
  </si>
  <si>
    <t>Mumbai</t>
  </si>
  <si>
    <t>West</t>
  </si>
  <si>
    <t>Laptop Stand</t>
  </si>
  <si>
    <t>Office Supplies</t>
  </si>
  <si>
    <t>ORD-0004</t>
  </si>
  <si>
    <t>Jaipur</t>
  </si>
  <si>
    <t>USB-C Hub</t>
  </si>
  <si>
    <t>Electronics</t>
  </si>
  <si>
    <t>ORD-0005</t>
  </si>
  <si>
    <t>Chennai</t>
  </si>
  <si>
    <t>Keyboard</t>
  </si>
  <si>
    <t>ORD-0006</t>
  </si>
  <si>
    <t>Pune</t>
  </si>
  <si>
    <t>Backpack</t>
  </si>
  <si>
    <t>ORD-0007</t>
  </si>
  <si>
    <t>Kolkata</t>
  </si>
  <si>
    <t>East</t>
  </si>
  <si>
    <t>Desk Lamp</t>
  </si>
  <si>
    <t>ORD-0008</t>
  </si>
  <si>
    <t>Hyderabad</t>
  </si>
  <si>
    <t>Wireless Mouse</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</si>
  <si>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</si>
  <si>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</si>
  <si>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</si>
  <si>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</si>
  <si>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</si>
  <si>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</si>
  <si>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</si>
  <si>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</si>
  <si>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</si>
  <si>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</si>
  <si>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</si>
  <si>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</si>
  <si>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</si>
  <si>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</si>
  <si>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</si>
  <si>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</si>
  <si>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</si>
  <si>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</si>
  <si>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</si>
  <si>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</si>
  <si>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</si>
  <si>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</si>
  <si>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</si>
  <si>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</si>
  <si>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</si>
  <si>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</si>
  <si>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</si>
  <si>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</si>
  <si>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</si>
  <si>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</si>
  <si>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</si>
  <si>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</si>
  <si>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</si>
  <si>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</si>
  <si>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</si>
  <si>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</si>
  <si>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</si>
  <si>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</si>
  <si>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</si>
  <si>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</si>
  <si>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</si>
  <si>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</si>
  <si>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</si>
  <si>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</si>
  <si>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</si>
  <si>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</si>
  <si>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</si>
  <si>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</si>
  <si>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</si>
  <si>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</si>
  <si>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</si>
  <si>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</si>
  <si>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</si>
  <si>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</si>
  <si>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</si>
  <si>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</si>
  <si>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</si>
  <si>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</si>
  <si>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</si>
  <si>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</si>
  <si>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</si>
  <si>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</si>
  <si>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</si>
  <si>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</si>
  <si>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</si>
  <si>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</si>
  <si>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</si>
  <si>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</si>
  <si>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</si>
  <si>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</si>
  <si>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</si>
  <si>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</si>
  <si>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</si>
  <si>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</si>
  <si>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</si>
  <si>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</si>
  <si>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</si>
  <si>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</si>
  <si>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</si>
  <si>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</si>
  <si>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</si>
  <si>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</si>
  <si>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</si>
  <si>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</si>
  <si>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</si>
  <si>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</si>
  <si>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</si>
  <si>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</si>
  <si>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</si>
  <si>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</si>
  <si>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</si>
  <si>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</si>
  <si>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</si>
  <si>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</si>
  <si>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</si>
  <si>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</si>
  <si>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</si>
  <si>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</si>
  <si>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</si>
  <si>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</si>
  <si>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</si>
  <si>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</si>
  <si>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</si>
  <si>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</si>
  <si>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</si>
  <si>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</si>
  <si>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</si>
  <si>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</si>
  <si>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</si>
  <si>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</si>
  <si>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</si>
  <si>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</si>
  <si>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Total Revenue</t>
  </si>
  <si>
    <t>Total Profit</t>
  </si>
  <si>
    <t>PROFIT</t>
  </si>
  <si>
    <t>ORDERS</t>
  </si>
  <si>
    <t xml:space="preserve">REVENUE </t>
  </si>
  <si>
    <t>PROFIT MARGIN</t>
  </si>
  <si>
    <t>Grand Total</t>
  </si>
  <si>
    <t xml:space="preserve"> Total Revenue</t>
  </si>
  <si>
    <t>Region with highest revenue</t>
  </si>
  <si>
    <t>Region with lowest revenue</t>
  </si>
  <si>
    <t>Region with highest Profit</t>
  </si>
  <si>
    <t>Does the highest-revenue region also have the highest profit?</t>
  </si>
  <si>
    <t>NO</t>
  </si>
  <si>
    <t>Which region has the highest profit margin?</t>
  </si>
  <si>
    <t>Which region has the lowest profit margin?</t>
  </si>
  <si>
    <t>Why might South have more revenue but West generate more profit?</t>
  </si>
  <si>
    <t xml:space="preserve"> Profit Margin </t>
  </si>
  <si>
    <t>West generated the highest profit because its 27.0% profit margin was higher than South’s 23.5%, despite South generating more revenue.</t>
  </si>
  <si>
    <t>Which product generated the highest revenue?</t>
  </si>
  <si>
    <t>Which product generated the lowest revenue?</t>
  </si>
  <si>
    <t>Which product generated the highest profit?</t>
  </si>
  <si>
    <t>Which product sold the most units?</t>
  </si>
  <si>
    <t>Does the product with the most units also generate the most revenue?</t>
  </si>
  <si>
    <t>USB-C Hub — ₹85,455</t>
  </si>
  <si>
    <t>Notebook Set — ₹14,133</t>
  </si>
  <si>
    <t>Backpack — ₹17,307</t>
  </si>
  <si>
    <t>All products tied at 45 units</t>
  </si>
  <si>
    <t>No single product sold the most; every product sold 45 units</t>
  </si>
  <si>
    <t>Products</t>
  </si>
  <si>
    <t>Unit Sold</t>
  </si>
  <si>
    <t>Product Margin %</t>
  </si>
  <si>
    <t>Which product has the highest profit margin?</t>
  </si>
  <si>
    <t>Which product has the lowest profit margin?</t>
  </si>
  <si>
    <t>Does the highest-revenue product also have the highest margin?</t>
  </si>
  <si>
    <t>Which low-revenue product is still highly profitable?</t>
  </si>
  <si>
    <t>Notbook Set -- 29.4%</t>
  </si>
  <si>
    <t>USB-C Hub -- 19.6%</t>
  </si>
  <si>
    <t>No USB-C Hub is the highest revenue product but has lowest margin of 19.6%</t>
  </si>
  <si>
    <t>Jan</t>
  </si>
  <si>
    <t>Feb</t>
  </si>
  <si>
    <t>Mar</t>
  </si>
  <si>
    <t>Apr</t>
  </si>
  <si>
    <t>May</t>
  </si>
  <si>
    <t>Jun</t>
  </si>
  <si>
    <t>Jul</t>
  </si>
  <si>
    <t>Aug</t>
  </si>
  <si>
    <t>Sep</t>
  </si>
  <si>
    <t>Oct</t>
  </si>
  <si>
    <t>Nov</t>
  </si>
  <si>
    <t>Dec</t>
  </si>
  <si>
    <t>Orders</t>
  </si>
  <si>
    <t>Date</t>
  </si>
  <si>
    <t>2025</t>
  </si>
  <si>
    <t>Which month generated the highest revenue?</t>
  </si>
  <si>
    <t>Which month generated the lowest revenue?</t>
  </si>
  <si>
    <t>Which month generated the highest profit?</t>
  </si>
  <si>
    <t>Is revenue generally increasing, decreasing or fluctuating?</t>
  </si>
  <si>
    <t>Do high-revenue months also produce high profit?</t>
  </si>
  <si>
    <t>Highest-revenue months: January, May and September — ₹41,970 each</t>
  </si>
  <si>
    <t>Lowest-revenue months: March, July and November — ₹26,297 each</t>
  </si>
  <si>
    <t>Highest-profit months: May and September — ₹8,664 each</t>
  </si>
  <si>
    <t>Revenue pattern: Fluctuating</t>
  </si>
  <si>
    <t>Generally yes, but not perfectly. Months with equal revenue can generate different profits because profitability varies.</t>
  </si>
  <si>
    <t>Retail Sales Performance Dashboard</t>
  </si>
  <si>
    <t>Sales performance overview | January–December 2025</t>
  </si>
  <si>
    <t>online</t>
  </si>
  <si>
    <t>STORE</t>
  </si>
  <si>
    <t>AVERAGE ORDER VALUE</t>
  </si>
  <si>
    <t>TOTAL ORDERS</t>
  </si>
  <si>
    <t xml:space="preserve"> TOTAL REVENUE</t>
  </si>
  <si>
    <t xml:space="preserve">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</si>
</sst>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dd\-mmm\-yyyy"/>
    <numFmt numFmtId="165" formatCode="\₹#,##0"/>
    <numFmt numFmtId="166" formatCode="0.0"/>
    <numFmt numFmtId="171" formatCode="0.0%"/>
    <numFmt numFmtId="177" formatCode="\₹#,##0.00"/>
    <numFmt numFmtId="181" formatCode="&quot;₹&quot;#,##0"/>
  </numFmts>
  <fonts count="12">
    <font>
      <sz val="11"/>
      <name val="Carlito"/>
    </font>
    <font>
      <b/>
      <sz val="10"/>
      <color rgb="FFFFFFFF"/>
      <name val="Aptos"/>
    </font>
    <font>
      <b/>
      <sz val="16"/>
      <name val="Carlito"/>
    </font>
    <font>
      <b/>
      <sz val="14"/>
      <name val="Carlito"/>
    </font>
    <font>
      <sz val="11"/>
      <name val="Carlito"/>
    </font>
    <font>
      <b/>
      <sz val="11"/>
      <name val="Carlito"/>
    </font>
    <font>
      <b/>
      <sz val="18"/>
      <color theme="0"/>
      <name val="Carlito"/>
    </font>
    <font>
      <b/>
      <sz val="12"/>
      <color theme="2" tint="-0.499984740745262"/>
      <name val="Carlito"/>
    </font>
    <font>
      <b/>
      <sz val="16"/>
      <color theme="0"/>
      <name val="Carlito"/>
    </font>
    <font>
      <b/>
      <sz val="12"/>
      <color theme="0"/>
      <name val="Carlito"/>
    </font>
    <font>
      <sz val="11"/>
      <name val="Carlito"/>
      <charset val="134"/>
    </font>
    <font>
      <b/>
      <sz val="10"/>
      <color indexed="9"/>
      <name val="Aptos"/>
      <family val="2"/>
    </font>
  </fonts>
  <fills count="5">
    <fill>
      <patternFill patternType="none"/>
    </fill>
    <fill>
      <patternFill patternType="gray125"/>
    </fill>
    <fill>
      <patternFill patternType="solid">
        <fgColor rgb="FF16324F"/>
      </patternFill>
    </fill>
    <fill>
      <patternFill patternType="solid">
        <fgColor theme="3" tint="9.9978637043366805E-2"/>
        <bgColor indexed="64"/>
      </patternFill>
    </fill>
    <fill>
      <patternFill patternType="solid">
        <fgColor rgb="FF16324F"/>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47">
    <xf numFmtId="0" fontId="0" fillId="0" borderId="0" xfId="0"/>
    <xf numFmtId="0" fontId="1" fillId="2" borderId="0" xfId="0" applyFont="1" applyFill="1" applyAlignment="1">
      <alignment wrapText="1"/>
    </xf>
    <xf numFmtId="0" fontId="2" fillId="0" borderId="0" xfId="0" applyFont="1"/>
    <xf numFmtId="164" fontId="2" fillId="0" borderId="0" xfId="0" applyNumberFormat="1" applyFont="1"/>
    <xf numFmtId="1" fontId="2" fillId="0" borderId="0" xfId="0" applyNumberFormat="1" applyFont="1"/>
    <xf numFmtId="165" fontId="2" fillId="0" borderId="0" xfId="0" applyNumberFormat="1" applyFont="1"/>
    <xf numFmtId="9" fontId="2" fillId="0" borderId="0" xfId="0" applyNumberFormat="1" applyFont="1"/>
    <xf numFmtId="166" fontId="2" fillId="0" borderId="0" xfId="0" applyNumberFormat="1" applyFont="1"/>
    <xf numFmtId="0" fontId="3" fillId="0" borderId="0" xfId="0" applyFont="1"/>
    <xf numFmtId="165" fontId="3" fillId="0" borderId="0" xfId="0" applyNumberFormat="1" applyFont="1"/>
    <xf numFmtId="164" fontId="3" fillId="0" borderId="0" xfId="0" applyNumberFormat="1" applyFont="1"/>
    <xf numFmtId="1" fontId="3" fillId="0" borderId="0" xfId="0" applyNumberFormat="1" applyFont="1"/>
    <xf numFmtId="9" fontId="3" fillId="0" borderId="0" xfId="0" applyNumberFormat="1" applyFont="1"/>
    <xf numFmtId="166" fontId="3"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0" fillId="0" borderId="0" xfId="0" applyAlignment="1"/>
    <xf numFmtId="0" fontId="0" fillId="0" borderId="0" xfId="0" applyNumberFormat="1"/>
    <xf numFmtId="1" fontId="0" fillId="0" borderId="0" xfId="0" applyNumberFormat="1"/>
    <xf numFmtId="0" fontId="5" fillId="0" borderId="0" xfId="0" applyFont="1"/>
    <xf numFmtId="171" fontId="0" fillId="0" borderId="0" xfId="0" applyNumberFormat="1"/>
    <xf numFmtId="0" fontId="5" fillId="0" borderId="0" xfId="0" applyFont="1" applyAlignment="1">
      <alignment horizontal="center"/>
    </xf>
    <xf numFmtId="0" fontId="5" fillId="0" borderId="0" xfId="0" applyFont="1" applyAlignment="1"/>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horizontal="left" vertical="center" indent="5"/>
    </xf>
    <xf numFmtId="0" fontId="0" fillId="0" borderId="0" xfId="0" applyAlignment="1">
      <alignment horizontal="left" indent="1"/>
    </xf>
    <xf numFmtId="0" fontId="5" fillId="0" borderId="0" xfId="0" applyFont="1" applyAlignment="1">
      <alignment wrapText="1"/>
    </xf>
    <xf numFmtId="0" fontId="6" fillId="3" borderId="0" xfId="0" applyFont="1" applyFill="1" applyAlignment="1">
      <alignment horizontal="center"/>
    </xf>
    <xf numFmtId="0" fontId="7" fillId="0" borderId="0" xfId="0" applyFont="1" applyAlignment="1">
      <alignment horizontal="center"/>
    </xf>
    <xf numFmtId="177" fontId="3" fillId="0" borderId="0" xfId="1" applyNumberFormat="1" applyFont="1"/>
    <xf numFmtId="0" fontId="0" fillId="0" borderId="0" xfId="0" applyAlignment="1">
      <alignment horizontal="center" vertical="top"/>
    </xf>
    <xf numFmtId="0" fontId="8" fillId="3" borderId="0" xfId="0" applyFont="1" applyFill="1" applyAlignment="1">
      <alignment horizontal="center" vertical="top"/>
    </xf>
    <xf numFmtId="0" fontId="9" fillId="3" borderId="0" xfId="0" applyFont="1" applyFill="1" applyAlignment="1">
      <alignment horizontal="center" vertical="top"/>
    </xf>
    <xf numFmtId="165" fontId="8" fillId="3" borderId="0" xfId="0" applyNumberFormat="1" applyFont="1" applyFill="1" applyAlignment="1">
      <alignment horizontal="center" vertical="top"/>
    </xf>
    <xf numFmtId="177" fontId="8" fillId="3" borderId="0" xfId="0" applyNumberFormat="1" applyFont="1" applyFill="1" applyAlignment="1">
      <alignment horizontal="center" vertical="top"/>
    </xf>
    <xf numFmtId="0" fontId="10" fillId="0" borderId="0" xfId="0" applyNumberFormat="1" applyFont="1" applyFill="1" applyBorder="1" applyAlignment="1" applyProtection="1"/>
    <xf numFmtId="0" fontId="11" fillId="4" borderId="0" xfId="0" applyNumberFormat="1" applyFont="1" applyFill="1" applyBorder="1" applyAlignment="1" applyProtection="1">
      <alignment wrapText="1"/>
    </xf>
    <xf numFmtId="164" fontId="10" fillId="0" borderId="0" xfId="0" applyNumberFormat="1" applyFont="1" applyFill="1" applyBorder="1" applyAlignment="1" applyProtection="1"/>
    <xf numFmtId="1" fontId="10" fillId="0" borderId="0" xfId="0" applyNumberFormat="1" applyFont="1" applyFill="1" applyBorder="1" applyAlignment="1" applyProtection="1"/>
    <xf numFmtId="181" fontId="10" fillId="0" borderId="0" xfId="0" applyNumberFormat="1" applyFont="1" applyFill="1" applyBorder="1" applyAlignment="1" applyProtection="1"/>
    <xf numFmtId="9" fontId="10" fillId="0" borderId="0" xfId="0" applyNumberFormat="1" applyFont="1" applyFill="1" applyBorder="1" applyAlignment="1" applyProtection="1"/>
    <xf numFmtId="166" fontId="10" fillId="0" borderId="0" xfId="0" applyNumberFormat="1" applyFont="1" applyFill="1" applyBorder="1" applyAlignment="1" applyProtection="1"/>
    <xf numFmtId="171" fontId="8" fillId="3" borderId="0" xfId="0" applyNumberFormat="1" applyFont="1" applyFill="1" applyAlignment="1">
      <alignment horizontal="center" vertical="top"/>
    </xf>
  </cellXfs>
  <cellStyles count="2">
    <cellStyle name="Currency" xfId="1" builtinId="4"/>
    <cellStyle name="Normal" xfId="0" builtinId="0"/>
  </cellStyles>
  <dxfs count="30">
    <dxf>
      <fill>
        <patternFill patternType="solid">
          <bgColor rgb="FFF7FAFC"/>
        </patternFill>
      </fill>
    </dxf>
    <dxf>
      <font>
        <b/>
        <i val="0"/>
        <strike val="0"/>
        <condense val="0"/>
        <extend val="0"/>
        <outline val="0"/>
        <shadow val="0"/>
        <u val="none"/>
        <vertAlign val="baseline"/>
        <sz val="14"/>
        <color auto="1"/>
        <name val="Carlito"/>
        <scheme val="none"/>
      </font>
      <numFmt numFmtId="165" formatCode="\₹#,##0"/>
    </dxf>
    <dxf>
      <font>
        <b/>
        <i val="0"/>
        <strike val="0"/>
        <condense val="0"/>
        <extend val="0"/>
        <outline val="0"/>
        <shadow val="0"/>
        <u val="none"/>
        <vertAlign val="baseline"/>
        <sz val="14"/>
        <color auto="1"/>
        <name val="Carlito"/>
        <scheme val="none"/>
      </font>
      <numFmt numFmtId="165" formatCode="\₹#,##0"/>
    </dxf>
    <dxf>
      <font>
        <b/>
        <i val="0"/>
        <strike val="0"/>
        <condense val="0"/>
        <extend val="0"/>
        <outline val="0"/>
        <shadow val="0"/>
        <u val="none"/>
        <vertAlign val="baseline"/>
        <sz val="14"/>
        <color auto="1"/>
        <name val="Carlito"/>
        <scheme val="none"/>
      </font>
      <numFmt numFmtId="165" formatCode="\₹#,##0"/>
    </dxf>
    <dxf>
      <font>
        <b/>
        <i val="0"/>
        <strike val="0"/>
        <condense val="0"/>
        <extend val="0"/>
        <outline val="0"/>
        <shadow val="0"/>
        <u val="none"/>
        <vertAlign val="baseline"/>
        <sz val="14"/>
        <color auto="1"/>
        <name val="Carlito"/>
        <scheme val="none"/>
      </font>
      <numFmt numFmtId="164" formatCode="dd\-mmm\-yyyy"/>
    </dxf>
    <dxf>
      <font>
        <b/>
        <i val="0"/>
        <strike val="0"/>
        <condense val="0"/>
        <extend val="0"/>
        <outline val="0"/>
        <shadow val="0"/>
        <u val="none"/>
        <vertAlign val="baseline"/>
        <sz val="14"/>
        <color auto="1"/>
        <name val="Carlito"/>
        <scheme val="none"/>
      </font>
      <numFmt numFmtId="166" formatCode="0.0"/>
    </dxf>
    <dxf>
      <font>
        <b/>
        <strike val="0"/>
        <outline val="0"/>
        <shadow val="0"/>
        <u val="none"/>
        <vertAlign val="baseline"/>
        <sz val="16"/>
        <color auto="1"/>
        <name val="Carlito"/>
        <scheme val="none"/>
      </font>
      <numFmt numFmtId="166" formatCode="0.0"/>
    </dxf>
    <dxf>
      <font>
        <b/>
        <strike val="0"/>
        <outline val="0"/>
        <shadow val="0"/>
        <u val="none"/>
        <vertAlign val="baseline"/>
        <sz val="16"/>
        <color auto="1"/>
        <name val="Carlito"/>
        <scheme val="none"/>
      </font>
      <numFmt numFmtId="165" formatCode="\₹#,##0"/>
    </dxf>
    <dxf>
      <font>
        <b/>
        <strike val="0"/>
        <outline val="0"/>
        <shadow val="0"/>
        <u val="none"/>
        <vertAlign val="baseline"/>
        <sz val="16"/>
        <color auto="1"/>
        <name val="Carlito"/>
        <scheme val="none"/>
      </font>
      <numFmt numFmtId="165" formatCode="\₹#,##0"/>
    </dxf>
    <dxf>
      <font>
        <b/>
        <i val="0"/>
        <strike val="0"/>
        <condense val="0"/>
        <extend val="0"/>
        <outline val="0"/>
        <shadow val="0"/>
        <u val="none"/>
        <vertAlign val="baseline"/>
        <sz val="14"/>
        <color auto="1"/>
        <name val="Carlito"/>
        <scheme val="none"/>
      </font>
      <numFmt numFmtId="13" formatCode="0%"/>
    </dxf>
    <dxf>
      <font>
        <b/>
        <strike val="0"/>
        <outline val="0"/>
        <shadow val="0"/>
        <u val="none"/>
        <vertAlign val="baseline"/>
        <sz val="16"/>
        <color auto="1"/>
        <name val="Carlito"/>
        <scheme val="none"/>
      </font>
      <numFmt numFmtId="13" formatCode="0%"/>
    </dxf>
    <dxf>
      <font>
        <b/>
        <strike val="0"/>
        <outline val="0"/>
        <shadow val="0"/>
        <u val="none"/>
        <vertAlign val="baseline"/>
        <sz val="16"/>
        <color auto="1"/>
        <name val="Carlito"/>
        <scheme val="none"/>
      </font>
      <numFmt numFmtId="165" formatCode="\₹#,##0"/>
    </dxf>
    <dxf>
      <font>
        <b/>
        <i val="0"/>
        <strike val="0"/>
        <condense val="0"/>
        <extend val="0"/>
        <outline val="0"/>
        <shadow val="0"/>
        <u val="none"/>
        <vertAlign val="baseline"/>
        <sz val="14"/>
        <color auto="1"/>
        <name val="Carlito"/>
        <scheme val="none"/>
      </font>
      <numFmt numFmtId="1" formatCode="0"/>
    </dxf>
    <dxf>
      <font>
        <b/>
        <strike val="0"/>
        <outline val="0"/>
        <shadow val="0"/>
        <u val="none"/>
        <vertAlign val="baseline"/>
        <sz val="16"/>
        <color auto="1"/>
        <name val="Carlito"/>
        <scheme val="none"/>
      </font>
      <numFmt numFmtId="1" formatCode="0"/>
    </dxf>
    <dxf>
      <font>
        <b/>
        <i val="0"/>
        <strike val="0"/>
        <condense val="0"/>
        <extend val="0"/>
        <outline val="0"/>
        <shadow val="0"/>
        <u val="none"/>
        <vertAlign val="baseline"/>
        <sz val="14"/>
        <color auto="1"/>
        <name val="Carlito"/>
        <scheme val="none"/>
      </font>
    </dxf>
    <dxf>
      <font>
        <b/>
        <strike val="0"/>
        <outline val="0"/>
        <shadow val="0"/>
        <u val="none"/>
        <vertAlign val="baseline"/>
        <sz val="16"/>
        <color auto="1"/>
        <name val="Carlito"/>
        <scheme val="none"/>
      </font>
    </dxf>
    <dxf>
      <font>
        <b/>
        <i val="0"/>
        <strike val="0"/>
        <condense val="0"/>
        <extend val="0"/>
        <outline val="0"/>
        <shadow val="0"/>
        <u val="none"/>
        <vertAlign val="baseline"/>
        <sz val="14"/>
        <color auto="1"/>
        <name val="Carlito"/>
        <scheme val="none"/>
      </font>
    </dxf>
    <dxf>
      <font>
        <b/>
        <strike val="0"/>
        <outline val="0"/>
        <shadow val="0"/>
        <u val="none"/>
        <vertAlign val="baseline"/>
        <sz val="16"/>
        <color auto="1"/>
        <name val="Carlito"/>
        <scheme val="none"/>
      </font>
    </dxf>
    <dxf>
      <font>
        <b/>
        <i val="0"/>
        <strike val="0"/>
        <condense val="0"/>
        <extend val="0"/>
        <outline val="0"/>
        <shadow val="0"/>
        <u val="none"/>
        <vertAlign val="baseline"/>
        <sz val="14"/>
        <color auto="1"/>
        <name val="Carlito"/>
        <scheme val="none"/>
      </font>
    </dxf>
    <dxf>
      <font>
        <b/>
        <strike val="0"/>
        <outline val="0"/>
        <shadow val="0"/>
        <u val="none"/>
        <vertAlign val="baseline"/>
        <sz val="16"/>
        <color auto="1"/>
        <name val="Carlito"/>
        <scheme val="none"/>
      </font>
    </dxf>
    <dxf>
      <font>
        <b/>
        <i val="0"/>
        <strike val="0"/>
        <condense val="0"/>
        <extend val="0"/>
        <outline val="0"/>
        <shadow val="0"/>
        <u val="none"/>
        <vertAlign val="baseline"/>
        <sz val="14"/>
        <color auto="1"/>
        <name val="Carlito"/>
        <scheme val="none"/>
      </font>
    </dxf>
    <dxf>
      <font>
        <b/>
        <strike val="0"/>
        <outline val="0"/>
        <shadow val="0"/>
        <u val="none"/>
        <vertAlign val="baseline"/>
        <sz val="16"/>
        <color auto="1"/>
        <name val="Carlito"/>
        <scheme val="none"/>
      </font>
    </dxf>
    <dxf>
      <font>
        <b/>
        <i val="0"/>
        <strike val="0"/>
        <condense val="0"/>
        <extend val="0"/>
        <outline val="0"/>
        <shadow val="0"/>
        <u val="none"/>
        <vertAlign val="baseline"/>
        <sz val="14"/>
        <color auto="1"/>
        <name val="Carlito"/>
        <scheme val="none"/>
      </font>
    </dxf>
    <dxf>
      <font>
        <b/>
        <strike val="0"/>
        <outline val="0"/>
        <shadow val="0"/>
        <u val="none"/>
        <vertAlign val="baseline"/>
        <sz val="16"/>
        <color auto="1"/>
        <name val="Carlito"/>
        <scheme val="none"/>
      </font>
    </dxf>
    <dxf>
      <font>
        <b/>
        <strike val="0"/>
        <outline val="0"/>
        <shadow val="0"/>
        <u val="none"/>
        <vertAlign val="baseline"/>
        <sz val="16"/>
        <color auto="1"/>
        <name val="Carlito"/>
        <scheme val="none"/>
      </font>
      <numFmt numFmtId="164" formatCode="dd\-mmm\-yyyy"/>
    </dxf>
    <dxf>
      <font>
        <b/>
        <i val="0"/>
        <strike val="0"/>
        <condense val="0"/>
        <extend val="0"/>
        <outline val="0"/>
        <shadow val="0"/>
        <u val="none"/>
        <vertAlign val="baseline"/>
        <sz val="14"/>
        <color auto="1"/>
        <name val="Carlito"/>
        <scheme val="none"/>
      </font>
    </dxf>
    <dxf>
      <font>
        <b/>
        <strike val="0"/>
        <outline val="0"/>
        <shadow val="0"/>
        <u val="none"/>
        <vertAlign val="baseline"/>
        <sz val="16"/>
        <color auto="1"/>
        <name val="Carlito"/>
        <scheme val="none"/>
      </font>
    </dxf>
    <dxf>
      <font>
        <b/>
        <strike val="0"/>
        <outline val="0"/>
        <shadow val="0"/>
        <u val="none"/>
        <vertAlign val="baseline"/>
        <sz val="14"/>
        <color auto="1"/>
        <name val="Carlito"/>
        <scheme val="none"/>
      </font>
    </dxf>
    <dxf>
      <font>
        <b/>
        <strike val="0"/>
        <outline val="0"/>
        <shadow val="0"/>
        <u val="none"/>
        <vertAlign val="baseline"/>
        <sz val="16"/>
        <color auto="1"/>
        <name val="Carlito"/>
        <scheme val="none"/>
      </font>
    </dxf>
    <dxf>
      <font>
        <b/>
        <i val="0"/>
        <strike val="0"/>
        <condense val="0"/>
        <extend val="0"/>
        <outline val="0"/>
        <shadow val="0"/>
        <u val="none"/>
        <vertAlign val="baseline"/>
        <sz val="10"/>
        <color rgb="FFFFFFFF"/>
        <name val="Aptos"/>
        <scheme val="none"/>
      </font>
      <fill>
        <patternFill patternType="solid">
          <fgColor indexed="64"/>
          <bgColor rgb="FF16324F"/>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DATA.xlsx]Regional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and Profit by Region</a:t>
            </a:r>
            <a:r>
              <a:rPr lang="en-US" sz="1400" b="0" i="0" u="none" strike="noStrike" baseline="0"/>
              <a: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Analysis'!$B$3</c:f>
              <c:strCache>
                <c:ptCount val="1"/>
                <c:pt idx="0">
                  <c:v> Total Revenue</c:v>
                </c:pt>
              </c:strCache>
            </c:strRef>
          </c:tx>
          <c:spPr>
            <a:solidFill>
              <a:schemeClr val="accent1"/>
            </a:solidFill>
            <a:ln>
              <a:noFill/>
            </a:ln>
            <a:effectLst/>
          </c:spPr>
          <c:invertIfNegative val="0"/>
          <c:cat>
            <c:strRef>
              <c:f>'Regional Analysis'!$A$4:$A$8</c:f>
              <c:strCache>
                <c:ptCount val="4"/>
                <c:pt idx="0">
                  <c:v>West</c:v>
                </c:pt>
                <c:pt idx="1">
                  <c:v>East</c:v>
                </c:pt>
                <c:pt idx="2">
                  <c:v>South</c:v>
                </c:pt>
                <c:pt idx="3">
                  <c:v>North</c:v>
                </c:pt>
              </c:strCache>
            </c:strRef>
          </c:cat>
          <c:val>
            <c:numRef>
              <c:f>'Regional Analysis'!$B$4:$B$8</c:f>
              <c:numCache>
                <c:formatCode>\₹#,##0</c:formatCode>
                <c:ptCount val="4"/>
                <c:pt idx="0">
                  <c:v>114444</c:v>
                </c:pt>
                <c:pt idx="1">
                  <c:v>45861</c:v>
                </c:pt>
                <c:pt idx="2">
                  <c:v>118668</c:v>
                </c:pt>
                <c:pt idx="3">
                  <c:v>111060</c:v>
                </c:pt>
              </c:numCache>
            </c:numRef>
          </c:val>
          <c:extLst>
            <c:ext xmlns:c16="http://schemas.microsoft.com/office/drawing/2014/chart" uri="{C3380CC4-5D6E-409C-BE32-E72D297353CC}">
              <c16:uniqueId val="{00000000-5D48-486C-9BA7-80C60FFC6F58}"/>
            </c:ext>
          </c:extLst>
        </c:ser>
        <c:ser>
          <c:idx val="1"/>
          <c:order val="1"/>
          <c:tx>
            <c:strRef>
              <c:f>'Regional Analysis'!$C$3</c:f>
              <c:strCache>
                <c:ptCount val="1"/>
                <c:pt idx="0">
                  <c:v>Total Profit</c:v>
                </c:pt>
              </c:strCache>
            </c:strRef>
          </c:tx>
          <c:spPr>
            <a:solidFill>
              <a:schemeClr val="accent2"/>
            </a:solidFill>
            <a:ln>
              <a:noFill/>
            </a:ln>
            <a:effectLst/>
          </c:spPr>
          <c:invertIfNegative val="0"/>
          <c:cat>
            <c:strRef>
              <c:f>'Regional Analysis'!$A$4:$A$8</c:f>
              <c:strCache>
                <c:ptCount val="4"/>
                <c:pt idx="0">
                  <c:v>West</c:v>
                </c:pt>
                <c:pt idx="1">
                  <c:v>East</c:v>
                </c:pt>
                <c:pt idx="2">
                  <c:v>South</c:v>
                </c:pt>
                <c:pt idx="3">
                  <c:v>North</c:v>
                </c:pt>
              </c:strCache>
            </c:strRef>
          </c:cat>
          <c:val>
            <c:numRef>
              <c:f>'Regional Analysis'!$C$4:$C$8</c:f>
              <c:numCache>
                <c:formatCode>\₹#,##0</c:formatCode>
                <c:ptCount val="4"/>
                <c:pt idx="0">
                  <c:v>30858</c:v>
                </c:pt>
                <c:pt idx="1">
                  <c:v>11745</c:v>
                </c:pt>
                <c:pt idx="2">
                  <c:v>27903</c:v>
                </c:pt>
                <c:pt idx="3">
                  <c:v>24054</c:v>
                </c:pt>
              </c:numCache>
            </c:numRef>
          </c:val>
          <c:extLst>
            <c:ext xmlns:c16="http://schemas.microsoft.com/office/drawing/2014/chart" uri="{C3380CC4-5D6E-409C-BE32-E72D297353CC}">
              <c16:uniqueId val="{00000001-5D48-486C-9BA7-80C60FFC6F58}"/>
            </c:ext>
          </c:extLst>
        </c:ser>
        <c:ser>
          <c:idx val="2"/>
          <c:order val="2"/>
          <c:tx>
            <c:strRef>
              <c:f>'Regional Analysis'!$D$3</c:f>
              <c:strCache>
                <c:ptCount val="1"/>
                <c:pt idx="0">
                  <c:v> Profit Margin </c:v>
                </c:pt>
              </c:strCache>
            </c:strRef>
          </c:tx>
          <c:spPr>
            <a:solidFill>
              <a:schemeClr val="accent3"/>
            </a:solidFill>
            <a:ln>
              <a:noFill/>
            </a:ln>
            <a:effectLst/>
          </c:spPr>
          <c:invertIfNegative val="0"/>
          <c:cat>
            <c:strRef>
              <c:f>'Regional Analysis'!$A$4:$A$8</c:f>
              <c:strCache>
                <c:ptCount val="4"/>
                <c:pt idx="0">
                  <c:v>West</c:v>
                </c:pt>
                <c:pt idx="1">
                  <c:v>East</c:v>
                </c:pt>
                <c:pt idx="2">
                  <c:v>South</c:v>
                </c:pt>
                <c:pt idx="3">
                  <c:v>North</c:v>
                </c:pt>
              </c:strCache>
            </c:strRef>
          </c:cat>
          <c:val>
            <c:numRef>
              <c:f>'Regional Analysis'!$D$4:$D$8</c:f>
              <c:numCache>
                <c:formatCode>0.0%</c:formatCode>
                <c:ptCount val="4"/>
                <c:pt idx="0">
                  <c:v>0.26963405683128866</c:v>
                </c:pt>
                <c:pt idx="1">
                  <c:v>0.25609995420945902</c:v>
                </c:pt>
                <c:pt idx="2">
                  <c:v>0.2351349984831631</c:v>
                </c:pt>
                <c:pt idx="3">
                  <c:v>0.21658562938951917</c:v>
                </c:pt>
              </c:numCache>
            </c:numRef>
          </c:val>
          <c:extLst>
            <c:ext xmlns:c16="http://schemas.microsoft.com/office/drawing/2014/chart" uri="{C3380CC4-5D6E-409C-BE32-E72D297353CC}">
              <c16:uniqueId val="{00000002-5D48-486C-9BA7-80C60FFC6F58}"/>
            </c:ext>
          </c:extLst>
        </c:ser>
        <c:dLbls>
          <c:showLegendKey val="0"/>
          <c:showVal val="0"/>
          <c:showCatName val="0"/>
          <c:showSerName val="0"/>
          <c:showPercent val="0"/>
          <c:showBubbleSize val="0"/>
        </c:dLbls>
        <c:gapWidth val="219"/>
        <c:overlap val="-27"/>
        <c:axId val="693940256"/>
        <c:axId val="693932576"/>
      </c:barChart>
      <c:catAx>
        <c:axId val="69394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32576"/>
        <c:crosses val="autoZero"/>
        <c:auto val="1"/>
        <c:lblAlgn val="ctr"/>
        <c:lblOffset val="100"/>
        <c:noMultiLvlLbl val="0"/>
      </c:catAx>
      <c:valAx>
        <c:axId val="69393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4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DATA.xlsx]Product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Revenue and Profit by Products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 Revenue</c:v>
                </c:pt>
              </c:strCache>
            </c:strRef>
          </c:tx>
          <c:spPr>
            <a:solidFill>
              <a:schemeClr val="accent1"/>
            </a:solidFill>
            <a:ln>
              <a:noFill/>
            </a:ln>
            <a:effectLst/>
          </c:spPr>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Analysis'!$B$4:$B$12</c:f>
              <c:numCache>
                <c:formatCode>\₹#,##0</c:formatCode>
                <c:ptCount val="8"/>
                <c:pt idx="0">
                  <c:v>14133</c:v>
                </c:pt>
                <c:pt idx="1">
                  <c:v>25605</c:v>
                </c:pt>
                <c:pt idx="2">
                  <c:v>49686</c:v>
                </c:pt>
                <c:pt idx="3">
                  <c:v>64758</c:v>
                </c:pt>
                <c:pt idx="4">
                  <c:v>45861</c:v>
                </c:pt>
                <c:pt idx="5">
                  <c:v>64080</c:v>
                </c:pt>
                <c:pt idx="6">
                  <c:v>40455</c:v>
                </c:pt>
                <c:pt idx="7">
                  <c:v>85455</c:v>
                </c:pt>
              </c:numCache>
            </c:numRef>
          </c:val>
          <c:extLst>
            <c:ext xmlns:c16="http://schemas.microsoft.com/office/drawing/2014/chart" uri="{C3380CC4-5D6E-409C-BE32-E72D297353CC}">
              <c16:uniqueId val="{00000005-864C-47A0-8D06-EF584C199E02}"/>
            </c:ext>
          </c:extLst>
        </c:ser>
        <c:ser>
          <c:idx val="1"/>
          <c:order val="1"/>
          <c:tx>
            <c:strRef>
              <c:f>'Product Analysis'!$C$3</c:f>
              <c:strCache>
                <c:ptCount val="1"/>
                <c:pt idx="0">
                  <c:v>Total Profit</c:v>
                </c:pt>
              </c:strCache>
            </c:strRef>
          </c:tx>
          <c:spPr>
            <a:solidFill>
              <a:schemeClr val="accent2"/>
            </a:solidFill>
            <a:ln>
              <a:noFill/>
            </a:ln>
            <a:effectLst/>
          </c:spPr>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Analysis'!$C$4:$C$12</c:f>
              <c:numCache>
                <c:formatCode>\₹#,##0</c:formatCode>
                <c:ptCount val="8"/>
                <c:pt idx="0">
                  <c:v>4161</c:v>
                </c:pt>
                <c:pt idx="1">
                  <c:v>7323</c:v>
                </c:pt>
                <c:pt idx="2">
                  <c:v>13551</c:v>
                </c:pt>
                <c:pt idx="3">
                  <c:v>17307</c:v>
                </c:pt>
                <c:pt idx="4">
                  <c:v>11745</c:v>
                </c:pt>
                <c:pt idx="5">
                  <c:v>15021</c:v>
                </c:pt>
                <c:pt idx="6">
                  <c:v>8721</c:v>
                </c:pt>
                <c:pt idx="7">
                  <c:v>16731</c:v>
                </c:pt>
              </c:numCache>
            </c:numRef>
          </c:val>
          <c:extLst>
            <c:ext xmlns:c16="http://schemas.microsoft.com/office/drawing/2014/chart" uri="{C3380CC4-5D6E-409C-BE32-E72D297353CC}">
              <c16:uniqueId val="{00000007-864C-47A0-8D06-EF584C199E02}"/>
            </c:ext>
          </c:extLst>
        </c:ser>
        <c:ser>
          <c:idx val="2"/>
          <c:order val="2"/>
          <c:tx>
            <c:strRef>
              <c:f>'Product Analysis'!$D$3</c:f>
              <c:strCache>
                <c:ptCount val="1"/>
                <c:pt idx="0">
                  <c:v>Unit Sold</c:v>
                </c:pt>
              </c:strCache>
            </c:strRef>
          </c:tx>
          <c:spPr>
            <a:solidFill>
              <a:schemeClr val="accent3"/>
            </a:solidFill>
            <a:ln>
              <a:noFill/>
            </a:ln>
            <a:effectLst/>
          </c:spPr>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Analysis'!$D$4:$D$12</c:f>
              <c:numCache>
                <c:formatCode>0</c:formatCode>
                <c:ptCount val="8"/>
                <c:pt idx="0">
                  <c:v>45</c:v>
                </c:pt>
                <c:pt idx="1">
                  <c:v>45</c:v>
                </c:pt>
                <c:pt idx="2">
                  <c:v>45</c:v>
                </c:pt>
                <c:pt idx="3">
                  <c:v>45</c:v>
                </c:pt>
                <c:pt idx="4">
                  <c:v>45</c:v>
                </c:pt>
                <c:pt idx="5">
                  <c:v>45</c:v>
                </c:pt>
                <c:pt idx="6">
                  <c:v>45</c:v>
                </c:pt>
                <c:pt idx="7">
                  <c:v>45</c:v>
                </c:pt>
              </c:numCache>
            </c:numRef>
          </c:val>
          <c:extLst>
            <c:ext xmlns:c16="http://schemas.microsoft.com/office/drawing/2014/chart" uri="{C3380CC4-5D6E-409C-BE32-E72D297353CC}">
              <c16:uniqueId val="{00000009-864C-47A0-8D06-EF584C199E02}"/>
            </c:ext>
          </c:extLst>
        </c:ser>
        <c:ser>
          <c:idx val="3"/>
          <c:order val="3"/>
          <c:tx>
            <c:strRef>
              <c:f>'Product Analysis'!$E$3</c:f>
              <c:strCache>
                <c:ptCount val="1"/>
                <c:pt idx="0">
                  <c:v>Product Margin %</c:v>
                </c:pt>
              </c:strCache>
            </c:strRef>
          </c:tx>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Analysis'!$E$4:$E$12</c:f>
              <c:numCache>
                <c:formatCode>0.0%</c:formatCode>
                <c:ptCount val="8"/>
                <c:pt idx="0">
                  <c:v>0.29441732116323499</c:v>
                </c:pt>
                <c:pt idx="1">
                  <c:v>0.28599882835383716</c:v>
                </c:pt>
                <c:pt idx="2">
                  <c:v>0.27273276174375077</c:v>
                </c:pt>
                <c:pt idx="3">
                  <c:v>0.26725655517465025</c:v>
                </c:pt>
                <c:pt idx="4">
                  <c:v>0.25609995420945902</c:v>
                </c:pt>
                <c:pt idx="5">
                  <c:v>0.23441011235955056</c:v>
                </c:pt>
                <c:pt idx="6">
                  <c:v>0.21557285873192436</c:v>
                </c:pt>
                <c:pt idx="7">
                  <c:v>0.19578725645076356</c:v>
                </c:pt>
              </c:numCache>
            </c:numRef>
          </c:val>
          <c:extLst>
            <c:ext xmlns:c16="http://schemas.microsoft.com/office/drawing/2014/chart" uri="{C3380CC4-5D6E-409C-BE32-E72D297353CC}">
              <c16:uniqueId val="{0000000A-864C-47A0-8D06-EF584C199E02}"/>
            </c:ext>
          </c:extLst>
        </c:ser>
        <c:dLbls>
          <c:showLegendKey val="0"/>
          <c:showVal val="0"/>
          <c:showCatName val="0"/>
          <c:showSerName val="0"/>
          <c:showPercent val="0"/>
          <c:showBubbleSize val="0"/>
        </c:dLbls>
        <c:gapWidth val="219"/>
        <c:overlap val="-27"/>
        <c:axId val="693940256"/>
        <c:axId val="693932576"/>
      </c:barChart>
      <c:catAx>
        <c:axId val="69394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32576"/>
        <c:crosses val="autoZero"/>
        <c:auto val="1"/>
        <c:lblAlgn val="ctr"/>
        <c:lblOffset val="100"/>
        <c:noMultiLvlLbl val="0"/>
      </c:catAx>
      <c:valAx>
        <c:axId val="69393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402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DATA.xlsx]Monthly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and Profit Trend</a:t>
            </a:r>
          </a:p>
        </c:rich>
      </c:tx>
      <c:layout>
        <c:manualLayout>
          <c:xMode val="edge"/>
          <c:yMode val="edge"/>
          <c:x val="0.2039374453193351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 Revenue</c:v>
                </c:pt>
              </c:strCache>
            </c:strRef>
          </c:tx>
          <c:spPr>
            <a:ln w="28575" cap="rnd">
              <a:solidFill>
                <a:schemeClr val="accent1"/>
              </a:solidFill>
              <a:round/>
            </a:ln>
            <a:effectLst/>
          </c:spPr>
          <c:marker>
            <c:symbol val="none"/>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Analysis'!$B$4:$B$17</c:f>
              <c:numCache>
                <c:formatCode>\₹#,##0</c:formatCode>
                <c:ptCount val="12"/>
                <c:pt idx="0">
                  <c:v>41970</c:v>
                </c:pt>
                <c:pt idx="1">
                  <c:v>31849</c:v>
                </c:pt>
                <c:pt idx="2">
                  <c:v>26297</c:v>
                </c:pt>
                <c:pt idx="3">
                  <c:v>29895</c:v>
                </c:pt>
                <c:pt idx="4">
                  <c:v>41970</c:v>
                </c:pt>
                <c:pt idx="5">
                  <c:v>31849</c:v>
                </c:pt>
                <c:pt idx="6">
                  <c:v>26297</c:v>
                </c:pt>
                <c:pt idx="7">
                  <c:v>29895</c:v>
                </c:pt>
                <c:pt idx="8">
                  <c:v>41970</c:v>
                </c:pt>
                <c:pt idx="9">
                  <c:v>31849</c:v>
                </c:pt>
                <c:pt idx="10">
                  <c:v>26297</c:v>
                </c:pt>
                <c:pt idx="11">
                  <c:v>29895</c:v>
                </c:pt>
              </c:numCache>
            </c:numRef>
          </c:val>
          <c:smooth val="0"/>
          <c:extLst>
            <c:ext xmlns:c16="http://schemas.microsoft.com/office/drawing/2014/chart" uri="{C3380CC4-5D6E-409C-BE32-E72D297353CC}">
              <c16:uniqueId val="{00000000-E32E-4745-B682-BA43613F9EF5}"/>
            </c:ext>
          </c:extLst>
        </c:ser>
        <c:ser>
          <c:idx val="1"/>
          <c:order val="1"/>
          <c:tx>
            <c:strRef>
              <c:f>'Monthly Analysis'!$C$3</c:f>
              <c:strCache>
                <c:ptCount val="1"/>
                <c:pt idx="0">
                  <c:v>Total Profit</c:v>
                </c:pt>
              </c:strCache>
            </c:strRef>
          </c:tx>
          <c:spPr>
            <a:ln w="28575" cap="rnd">
              <a:solidFill>
                <a:schemeClr val="accent2"/>
              </a:solidFill>
              <a:round/>
            </a:ln>
            <a:effectLst/>
          </c:spPr>
          <c:marker>
            <c:symbol val="none"/>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Analysis'!$C$4:$C$17</c:f>
              <c:numCache>
                <c:formatCode>\₹#,##0</c:formatCode>
                <c:ptCount val="12"/>
                <c:pt idx="0">
                  <c:v>8124</c:v>
                </c:pt>
                <c:pt idx="1">
                  <c:v>8612</c:v>
                </c:pt>
                <c:pt idx="2">
                  <c:v>7336</c:v>
                </c:pt>
                <c:pt idx="3">
                  <c:v>6968</c:v>
                </c:pt>
                <c:pt idx="4">
                  <c:v>8664</c:v>
                </c:pt>
                <c:pt idx="5">
                  <c:v>8612</c:v>
                </c:pt>
                <c:pt idx="6">
                  <c:v>6796</c:v>
                </c:pt>
                <c:pt idx="7">
                  <c:v>7688</c:v>
                </c:pt>
                <c:pt idx="8">
                  <c:v>8664</c:v>
                </c:pt>
                <c:pt idx="9">
                  <c:v>8072</c:v>
                </c:pt>
                <c:pt idx="10">
                  <c:v>7336</c:v>
                </c:pt>
                <c:pt idx="11">
                  <c:v>7688</c:v>
                </c:pt>
              </c:numCache>
            </c:numRef>
          </c:val>
          <c:smooth val="0"/>
          <c:extLst>
            <c:ext xmlns:c16="http://schemas.microsoft.com/office/drawing/2014/chart" uri="{C3380CC4-5D6E-409C-BE32-E72D297353CC}">
              <c16:uniqueId val="{00000001-E32E-4745-B682-BA43613F9EF5}"/>
            </c:ext>
          </c:extLst>
        </c:ser>
        <c:ser>
          <c:idx val="2"/>
          <c:order val="2"/>
          <c:tx>
            <c:strRef>
              <c:f>'Monthly Analysis'!$D$3</c:f>
              <c:strCache>
                <c:ptCount val="1"/>
                <c:pt idx="0">
                  <c:v>Orders</c:v>
                </c:pt>
              </c:strCache>
            </c:strRef>
          </c:tx>
          <c:spPr>
            <a:ln w="28575" cap="rnd">
              <a:solidFill>
                <a:schemeClr val="accent3"/>
              </a:solidFill>
              <a:round/>
            </a:ln>
            <a:effectLst/>
          </c:spPr>
          <c:marker>
            <c:symbol val="none"/>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Analysis'!$D$4:$D$17</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mooth val="0"/>
          <c:extLst>
            <c:ext xmlns:c16="http://schemas.microsoft.com/office/drawing/2014/chart" uri="{C3380CC4-5D6E-409C-BE32-E72D297353CC}">
              <c16:uniqueId val="{00000002-E32E-4745-B682-BA43613F9EF5}"/>
            </c:ext>
          </c:extLst>
        </c:ser>
        <c:dLbls>
          <c:showLegendKey val="0"/>
          <c:showVal val="0"/>
          <c:showCatName val="0"/>
          <c:showSerName val="0"/>
          <c:showPercent val="0"/>
          <c:showBubbleSize val="0"/>
        </c:dLbls>
        <c:smooth val="0"/>
        <c:axId val="693948416"/>
        <c:axId val="693939296"/>
      </c:lineChart>
      <c:catAx>
        <c:axId val="6939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39296"/>
        <c:crosses val="autoZero"/>
        <c:auto val="1"/>
        <c:lblAlgn val="ctr"/>
        <c:lblOffset val="100"/>
        <c:noMultiLvlLbl val="0"/>
      </c:catAx>
      <c:valAx>
        <c:axId val="693939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48416"/>
        <c:crosses val="autoZero"/>
        <c:crossBetween val="between"/>
      </c:valAx>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DATA.xlsx]Regional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and Profit by Region</a:t>
            </a:r>
            <a:r>
              <a:rPr lang="en-US" sz="1400" b="0" i="0" u="none" strike="noStrike" baseline="0"/>
              <a: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Analysis'!$B$3</c:f>
              <c:strCache>
                <c:ptCount val="1"/>
                <c:pt idx="0">
                  <c:v> Total Revenue</c:v>
                </c:pt>
              </c:strCache>
            </c:strRef>
          </c:tx>
          <c:spPr>
            <a:solidFill>
              <a:schemeClr val="accent1"/>
            </a:solidFill>
            <a:ln>
              <a:noFill/>
            </a:ln>
            <a:effectLst/>
          </c:spPr>
          <c:invertIfNegative val="0"/>
          <c:cat>
            <c:strRef>
              <c:f>'Regional Analysis'!$A$4:$A$8</c:f>
              <c:strCache>
                <c:ptCount val="4"/>
                <c:pt idx="0">
                  <c:v>West</c:v>
                </c:pt>
                <c:pt idx="1">
                  <c:v>East</c:v>
                </c:pt>
                <c:pt idx="2">
                  <c:v>South</c:v>
                </c:pt>
                <c:pt idx="3">
                  <c:v>North</c:v>
                </c:pt>
              </c:strCache>
            </c:strRef>
          </c:cat>
          <c:val>
            <c:numRef>
              <c:f>'Regional Analysis'!$B$4:$B$8</c:f>
              <c:numCache>
                <c:formatCode>\₹#,##0</c:formatCode>
                <c:ptCount val="4"/>
                <c:pt idx="0">
                  <c:v>114444</c:v>
                </c:pt>
                <c:pt idx="1">
                  <c:v>45861</c:v>
                </c:pt>
                <c:pt idx="2">
                  <c:v>118668</c:v>
                </c:pt>
                <c:pt idx="3">
                  <c:v>111060</c:v>
                </c:pt>
              </c:numCache>
            </c:numRef>
          </c:val>
          <c:extLst>
            <c:ext xmlns:c16="http://schemas.microsoft.com/office/drawing/2014/chart" uri="{C3380CC4-5D6E-409C-BE32-E72D297353CC}">
              <c16:uniqueId val="{00000000-0589-4849-84DC-3B287BE96EE4}"/>
            </c:ext>
          </c:extLst>
        </c:ser>
        <c:ser>
          <c:idx val="1"/>
          <c:order val="1"/>
          <c:tx>
            <c:strRef>
              <c:f>'Regional Analysis'!$C$3</c:f>
              <c:strCache>
                <c:ptCount val="1"/>
                <c:pt idx="0">
                  <c:v>Total Profit</c:v>
                </c:pt>
              </c:strCache>
            </c:strRef>
          </c:tx>
          <c:spPr>
            <a:solidFill>
              <a:schemeClr val="accent2"/>
            </a:solidFill>
            <a:ln>
              <a:noFill/>
            </a:ln>
            <a:effectLst/>
          </c:spPr>
          <c:invertIfNegative val="0"/>
          <c:cat>
            <c:strRef>
              <c:f>'Regional Analysis'!$A$4:$A$8</c:f>
              <c:strCache>
                <c:ptCount val="4"/>
                <c:pt idx="0">
                  <c:v>West</c:v>
                </c:pt>
                <c:pt idx="1">
                  <c:v>East</c:v>
                </c:pt>
                <c:pt idx="2">
                  <c:v>South</c:v>
                </c:pt>
                <c:pt idx="3">
                  <c:v>North</c:v>
                </c:pt>
              </c:strCache>
            </c:strRef>
          </c:cat>
          <c:val>
            <c:numRef>
              <c:f>'Regional Analysis'!$C$4:$C$8</c:f>
              <c:numCache>
                <c:formatCode>\₹#,##0</c:formatCode>
                <c:ptCount val="4"/>
                <c:pt idx="0">
                  <c:v>30858</c:v>
                </c:pt>
                <c:pt idx="1">
                  <c:v>11745</c:v>
                </c:pt>
                <c:pt idx="2">
                  <c:v>27903</c:v>
                </c:pt>
                <c:pt idx="3">
                  <c:v>24054</c:v>
                </c:pt>
              </c:numCache>
            </c:numRef>
          </c:val>
          <c:extLst>
            <c:ext xmlns:c16="http://schemas.microsoft.com/office/drawing/2014/chart" uri="{C3380CC4-5D6E-409C-BE32-E72D297353CC}">
              <c16:uniqueId val="{00000002-0589-4849-84DC-3B287BE96EE4}"/>
            </c:ext>
          </c:extLst>
        </c:ser>
        <c:ser>
          <c:idx val="2"/>
          <c:order val="2"/>
          <c:tx>
            <c:strRef>
              <c:f>'Regional Analysis'!$D$3</c:f>
              <c:strCache>
                <c:ptCount val="1"/>
                <c:pt idx="0">
                  <c:v> Profit Margin </c:v>
                </c:pt>
              </c:strCache>
            </c:strRef>
          </c:tx>
          <c:spPr>
            <a:solidFill>
              <a:schemeClr val="accent3"/>
            </a:solidFill>
            <a:ln>
              <a:noFill/>
            </a:ln>
            <a:effectLst/>
          </c:spPr>
          <c:invertIfNegative val="0"/>
          <c:cat>
            <c:strRef>
              <c:f>'Regional Analysis'!$A$4:$A$8</c:f>
              <c:strCache>
                <c:ptCount val="4"/>
                <c:pt idx="0">
                  <c:v>West</c:v>
                </c:pt>
                <c:pt idx="1">
                  <c:v>East</c:v>
                </c:pt>
                <c:pt idx="2">
                  <c:v>South</c:v>
                </c:pt>
                <c:pt idx="3">
                  <c:v>North</c:v>
                </c:pt>
              </c:strCache>
            </c:strRef>
          </c:cat>
          <c:val>
            <c:numRef>
              <c:f>'Regional Analysis'!$D$4:$D$8</c:f>
              <c:numCache>
                <c:formatCode>0.0%</c:formatCode>
                <c:ptCount val="4"/>
                <c:pt idx="0">
                  <c:v>0.26963405683128866</c:v>
                </c:pt>
                <c:pt idx="1">
                  <c:v>0.25609995420945902</c:v>
                </c:pt>
                <c:pt idx="2">
                  <c:v>0.2351349984831631</c:v>
                </c:pt>
                <c:pt idx="3">
                  <c:v>0.21658562938951917</c:v>
                </c:pt>
              </c:numCache>
            </c:numRef>
          </c:val>
          <c:extLst>
            <c:ext xmlns:c16="http://schemas.microsoft.com/office/drawing/2014/chart" uri="{C3380CC4-5D6E-409C-BE32-E72D297353CC}">
              <c16:uniqueId val="{00000004-0589-4849-84DC-3B287BE96EE4}"/>
            </c:ext>
          </c:extLst>
        </c:ser>
        <c:dLbls>
          <c:showLegendKey val="0"/>
          <c:showVal val="0"/>
          <c:showCatName val="0"/>
          <c:showSerName val="0"/>
          <c:showPercent val="0"/>
          <c:showBubbleSize val="0"/>
        </c:dLbls>
        <c:gapWidth val="219"/>
        <c:overlap val="-27"/>
        <c:axId val="693940256"/>
        <c:axId val="693932576"/>
      </c:barChart>
      <c:catAx>
        <c:axId val="69394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32576"/>
        <c:crosses val="autoZero"/>
        <c:auto val="1"/>
        <c:lblAlgn val="ctr"/>
        <c:lblOffset val="100"/>
        <c:noMultiLvlLbl val="0"/>
      </c:catAx>
      <c:valAx>
        <c:axId val="69393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4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DATA.xlsx]Product 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 Revenue</c:v>
                </c:pt>
              </c:strCache>
            </c:strRef>
          </c:tx>
          <c:spPr>
            <a:solidFill>
              <a:schemeClr val="accent1"/>
            </a:solidFill>
            <a:ln>
              <a:noFill/>
            </a:ln>
            <a:effectLst/>
          </c:spPr>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Analysis'!$B$4:$B$12</c:f>
              <c:numCache>
                <c:formatCode>\₹#,##0</c:formatCode>
                <c:ptCount val="8"/>
                <c:pt idx="0">
                  <c:v>14133</c:v>
                </c:pt>
                <c:pt idx="1">
                  <c:v>25605</c:v>
                </c:pt>
                <c:pt idx="2">
                  <c:v>49686</c:v>
                </c:pt>
                <c:pt idx="3">
                  <c:v>64758</c:v>
                </c:pt>
                <c:pt idx="4">
                  <c:v>45861</c:v>
                </c:pt>
                <c:pt idx="5">
                  <c:v>64080</c:v>
                </c:pt>
                <c:pt idx="6">
                  <c:v>40455</c:v>
                </c:pt>
                <c:pt idx="7">
                  <c:v>85455</c:v>
                </c:pt>
              </c:numCache>
            </c:numRef>
          </c:val>
          <c:extLst>
            <c:ext xmlns:c16="http://schemas.microsoft.com/office/drawing/2014/chart" uri="{C3380CC4-5D6E-409C-BE32-E72D297353CC}">
              <c16:uniqueId val="{00000000-78F9-4D76-817A-AA93B7587561}"/>
            </c:ext>
          </c:extLst>
        </c:ser>
        <c:ser>
          <c:idx val="1"/>
          <c:order val="1"/>
          <c:tx>
            <c:strRef>
              <c:f>'Product Analysis'!$C$3</c:f>
              <c:strCache>
                <c:ptCount val="1"/>
                <c:pt idx="0">
                  <c:v>Total Profit</c:v>
                </c:pt>
              </c:strCache>
            </c:strRef>
          </c:tx>
          <c:spPr>
            <a:solidFill>
              <a:schemeClr val="accent2"/>
            </a:solidFill>
            <a:ln>
              <a:noFill/>
            </a:ln>
            <a:effectLst/>
          </c:spPr>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Analysis'!$C$4:$C$12</c:f>
              <c:numCache>
                <c:formatCode>\₹#,##0</c:formatCode>
                <c:ptCount val="8"/>
                <c:pt idx="0">
                  <c:v>4161</c:v>
                </c:pt>
                <c:pt idx="1">
                  <c:v>7323</c:v>
                </c:pt>
                <c:pt idx="2">
                  <c:v>13551</c:v>
                </c:pt>
                <c:pt idx="3">
                  <c:v>17307</c:v>
                </c:pt>
                <c:pt idx="4">
                  <c:v>11745</c:v>
                </c:pt>
                <c:pt idx="5">
                  <c:v>15021</c:v>
                </c:pt>
                <c:pt idx="6">
                  <c:v>8721</c:v>
                </c:pt>
                <c:pt idx="7">
                  <c:v>16731</c:v>
                </c:pt>
              </c:numCache>
            </c:numRef>
          </c:val>
          <c:extLst>
            <c:ext xmlns:c16="http://schemas.microsoft.com/office/drawing/2014/chart" uri="{C3380CC4-5D6E-409C-BE32-E72D297353CC}">
              <c16:uniqueId val="{00000002-78F9-4D76-817A-AA93B7587561}"/>
            </c:ext>
          </c:extLst>
        </c:ser>
        <c:ser>
          <c:idx val="2"/>
          <c:order val="2"/>
          <c:tx>
            <c:strRef>
              <c:f>'Product Analysis'!$D$3</c:f>
              <c:strCache>
                <c:ptCount val="1"/>
                <c:pt idx="0">
                  <c:v>Unit Sold</c:v>
                </c:pt>
              </c:strCache>
            </c:strRef>
          </c:tx>
          <c:spPr>
            <a:solidFill>
              <a:schemeClr val="accent3"/>
            </a:solidFill>
            <a:ln>
              <a:noFill/>
            </a:ln>
            <a:effectLst/>
          </c:spPr>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Analysis'!$D$4:$D$12</c:f>
              <c:numCache>
                <c:formatCode>0</c:formatCode>
                <c:ptCount val="8"/>
                <c:pt idx="0">
                  <c:v>45</c:v>
                </c:pt>
                <c:pt idx="1">
                  <c:v>45</c:v>
                </c:pt>
                <c:pt idx="2">
                  <c:v>45</c:v>
                </c:pt>
                <c:pt idx="3">
                  <c:v>45</c:v>
                </c:pt>
                <c:pt idx="4">
                  <c:v>45</c:v>
                </c:pt>
                <c:pt idx="5">
                  <c:v>45</c:v>
                </c:pt>
                <c:pt idx="6">
                  <c:v>45</c:v>
                </c:pt>
                <c:pt idx="7">
                  <c:v>45</c:v>
                </c:pt>
              </c:numCache>
            </c:numRef>
          </c:val>
          <c:extLst>
            <c:ext xmlns:c16="http://schemas.microsoft.com/office/drawing/2014/chart" uri="{C3380CC4-5D6E-409C-BE32-E72D297353CC}">
              <c16:uniqueId val="{00000003-78F9-4D76-817A-AA93B7587561}"/>
            </c:ext>
          </c:extLst>
        </c:ser>
        <c:ser>
          <c:idx val="3"/>
          <c:order val="3"/>
          <c:tx>
            <c:strRef>
              <c:f>'Product Analysis'!$E$3</c:f>
              <c:strCache>
                <c:ptCount val="1"/>
                <c:pt idx="0">
                  <c:v>Product Margin %</c:v>
                </c:pt>
              </c:strCache>
            </c:strRef>
          </c:tx>
          <c:spPr>
            <a:solidFill>
              <a:schemeClr val="accent4"/>
            </a:solidFill>
            <a:ln>
              <a:noFill/>
            </a:ln>
            <a:effectLst/>
          </c:spPr>
          <c:invertIfNegative val="0"/>
          <c:cat>
            <c:strRef>
              <c:f>'Product Analysis'!$A$4:$A$12</c:f>
              <c:strCache>
                <c:ptCount val="8"/>
                <c:pt idx="0">
                  <c:v>Notebook Set</c:v>
                </c:pt>
                <c:pt idx="1">
                  <c:v>Water Bottle</c:v>
                </c:pt>
                <c:pt idx="2">
                  <c:v>Laptop Stand</c:v>
                </c:pt>
                <c:pt idx="3">
                  <c:v>Backpack</c:v>
                </c:pt>
                <c:pt idx="4">
                  <c:v>Desk Lamp</c:v>
                </c:pt>
                <c:pt idx="5">
                  <c:v>Keyboard</c:v>
                </c:pt>
                <c:pt idx="6">
                  <c:v>Wireless Mouse</c:v>
                </c:pt>
                <c:pt idx="7">
                  <c:v>USB-C Hub</c:v>
                </c:pt>
              </c:strCache>
            </c:strRef>
          </c:cat>
          <c:val>
            <c:numRef>
              <c:f>'Product Analysis'!$E$4:$E$12</c:f>
              <c:numCache>
                <c:formatCode>0.0%</c:formatCode>
                <c:ptCount val="8"/>
                <c:pt idx="0">
                  <c:v>0.29441732116323499</c:v>
                </c:pt>
                <c:pt idx="1">
                  <c:v>0.28599882835383716</c:v>
                </c:pt>
                <c:pt idx="2">
                  <c:v>0.27273276174375077</c:v>
                </c:pt>
                <c:pt idx="3">
                  <c:v>0.26725655517465025</c:v>
                </c:pt>
                <c:pt idx="4">
                  <c:v>0.25609995420945902</c:v>
                </c:pt>
                <c:pt idx="5">
                  <c:v>0.23441011235955056</c:v>
                </c:pt>
                <c:pt idx="6">
                  <c:v>0.21557285873192436</c:v>
                </c:pt>
                <c:pt idx="7">
                  <c:v>0.19578725645076356</c:v>
                </c:pt>
              </c:numCache>
            </c:numRef>
          </c:val>
          <c:extLst>
            <c:ext xmlns:c16="http://schemas.microsoft.com/office/drawing/2014/chart" uri="{C3380CC4-5D6E-409C-BE32-E72D297353CC}">
              <c16:uniqueId val="{00000004-78F9-4D76-817A-AA93B7587561}"/>
            </c:ext>
          </c:extLst>
        </c:ser>
        <c:dLbls>
          <c:showLegendKey val="0"/>
          <c:showVal val="0"/>
          <c:showCatName val="0"/>
          <c:showSerName val="0"/>
          <c:showPercent val="0"/>
          <c:showBubbleSize val="0"/>
        </c:dLbls>
        <c:gapWidth val="219"/>
        <c:overlap val="-27"/>
        <c:axId val="693946976"/>
        <c:axId val="693942176"/>
      </c:barChart>
      <c:catAx>
        <c:axId val="69394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42176"/>
        <c:crosses val="autoZero"/>
        <c:auto val="1"/>
        <c:lblAlgn val="ctr"/>
        <c:lblOffset val="100"/>
        <c:noMultiLvlLbl val="0"/>
      </c:catAx>
      <c:valAx>
        <c:axId val="693942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4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DATA.xlsx]Monthly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and Profit Trend</a:t>
            </a:r>
          </a:p>
        </c:rich>
      </c:tx>
      <c:layout>
        <c:manualLayout>
          <c:xMode val="edge"/>
          <c:yMode val="edge"/>
          <c:x val="0.2039374453193351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Total Revenue</c:v>
                </c:pt>
              </c:strCache>
            </c:strRef>
          </c:tx>
          <c:spPr>
            <a:ln w="28575" cap="rnd">
              <a:solidFill>
                <a:schemeClr val="accent1"/>
              </a:solidFill>
              <a:round/>
            </a:ln>
            <a:effectLst/>
          </c:spPr>
          <c:marker>
            <c:symbol val="none"/>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Analysis'!$B$4:$B$17</c:f>
              <c:numCache>
                <c:formatCode>\₹#,##0</c:formatCode>
                <c:ptCount val="12"/>
                <c:pt idx="0">
                  <c:v>41970</c:v>
                </c:pt>
                <c:pt idx="1">
                  <c:v>31849</c:v>
                </c:pt>
                <c:pt idx="2">
                  <c:v>26297</c:v>
                </c:pt>
                <c:pt idx="3">
                  <c:v>29895</c:v>
                </c:pt>
                <c:pt idx="4">
                  <c:v>41970</c:v>
                </c:pt>
                <c:pt idx="5">
                  <c:v>31849</c:v>
                </c:pt>
                <c:pt idx="6">
                  <c:v>26297</c:v>
                </c:pt>
                <c:pt idx="7">
                  <c:v>29895</c:v>
                </c:pt>
                <c:pt idx="8">
                  <c:v>41970</c:v>
                </c:pt>
                <c:pt idx="9">
                  <c:v>31849</c:v>
                </c:pt>
                <c:pt idx="10">
                  <c:v>26297</c:v>
                </c:pt>
                <c:pt idx="11">
                  <c:v>29895</c:v>
                </c:pt>
              </c:numCache>
            </c:numRef>
          </c:val>
          <c:smooth val="0"/>
          <c:extLst>
            <c:ext xmlns:c16="http://schemas.microsoft.com/office/drawing/2014/chart" uri="{C3380CC4-5D6E-409C-BE32-E72D297353CC}">
              <c16:uniqueId val="{00000002-D299-4E3A-97D1-36F9FE76AC0D}"/>
            </c:ext>
          </c:extLst>
        </c:ser>
        <c:ser>
          <c:idx val="1"/>
          <c:order val="1"/>
          <c:tx>
            <c:strRef>
              <c:f>'Monthly Analysis'!$C$3</c:f>
              <c:strCache>
                <c:ptCount val="1"/>
                <c:pt idx="0">
                  <c:v>Total Profit</c:v>
                </c:pt>
              </c:strCache>
            </c:strRef>
          </c:tx>
          <c:spPr>
            <a:ln w="28575" cap="rnd">
              <a:solidFill>
                <a:schemeClr val="accent2"/>
              </a:solidFill>
              <a:round/>
            </a:ln>
            <a:effectLst/>
          </c:spPr>
          <c:marker>
            <c:symbol val="none"/>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Analysis'!$C$4:$C$17</c:f>
              <c:numCache>
                <c:formatCode>\₹#,##0</c:formatCode>
                <c:ptCount val="12"/>
                <c:pt idx="0">
                  <c:v>8124</c:v>
                </c:pt>
                <c:pt idx="1">
                  <c:v>8612</c:v>
                </c:pt>
                <c:pt idx="2">
                  <c:v>7336</c:v>
                </c:pt>
                <c:pt idx="3">
                  <c:v>6968</c:v>
                </c:pt>
                <c:pt idx="4">
                  <c:v>8664</c:v>
                </c:pt>
                <c:pt idx="5">
                  <c:v>8612</c:v>
                </c:pt>
                <c:pt idx="6">
                  <c:v>6796</c:v>
                </c:pt>
                <c:pt idx="7">
                  <c:v>7688</c:v>
                </c:pt>
                <c:pt idx="8">
                  <c:v>8664</c:v>
                </c:pt>
                <c:pt idx="9">
                  <c:v>8072</c:v>
                </c:pt>
                <c:pt idx="10">
                  <c:v>7336</c:v>
                </c:pt>
                <c:pt idx="11">
                  <c:v>7688</c:v>
                </c:pt>
              </c:numCache>
            </c:numRef>
          </c:val>
          <c:smooth val="0"/>
          <c:extLst>
            <c:ext xmlns:c16="http://schemas.microsoft.com/office/drawing/2014/chart" uri="{C3380CC4-5D6E-409C-BE32-E72D297353CC}">
              <c16:uniqueId val="{00000003-D299-4E3A-97D1-36F9FE76AC0D}"/>
            </c:ext>
          </c:extLst>
        </c:ser>
        <c:ser>
          <c:idx val="2"/>
          <c:order val="2"/>
          <c:tx>
            <c:strRef>
              <c:f>'Monthly Analysis'!$D$3</c:f>
              <c:strCache>
                <c:ptCount val="1"/>
                <c:pt idx="0">
                  <c:v>Orders</c:v>
                </c:pt>
              </c:strCache>
            </c:strRef>
          </c:tx>
          <c:spPr>
            <a:ln w="28575" cap="rnd">
              <a:solidFill>
                <a:schemeClr val="accent3"/>
              </a:solidFill>
              <a:round/>
            </a:ln>
            <a:effectLst/>
          </c:spPr>
          <c:marker>
            <c:symbol val="none"/>
          </c:marker>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Analysis'!$D$4:$D$17</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mooth val="0"/>
          <c:extLst>
            <c:ext xmlns:c16="http://schemas.microsoft.com/office/drawing/2014/chart" uri="{C3380CC4-5D6E-409C-BE32-E72D297353CC}">
              <c16:uniqueId val="{00000004-D299-4E3A-97D1-36F9FE76AC0D}"/>
            </c:ext>
          </c:extLst>
        </c:ser>
        <c:dLbls>
          <c:showLegendKey val="0"/>
          <c:showVal val="0"/>
          <c:showCatName val="0"/>
          <c:showSerName val="0"/>
          <c:showPercent val="0"/>
          <c:showBubbleSize val="0"/>
        </c:dLbls>
        <c:smooth val="0"/>
        <c:axId val="693948416"/>
        <c:axId val="693939296"/>
      </c:lineChart>
      <c:catAx>
        <c:axId val="6939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39296"/>
        <c:crosses val="autoZero"/>
        <c:auto val="1"/>
        <c:lblAlgn val="ctr"/>
        <c:lblOffset val="100"/>
        <c:noMultiLvlLbl val="0"/>
      </c:catAx>
      <c:valAx>
        <c:axId val="693939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48416"/>
        <c:crosses val="autoZero"/>
        <c:crossBetween val="between"/>
      </c:valAx>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566852</xdr:colOff>
      <xdr:row>8</xdr:row>
      <xdr:rowOff>65049</xdr:rowOff>
    </xdr:from>
    <xdr:to>
      <xdr:col>10</xdr:col>
      <xdr:colOff>371708</xdr:colOff>
      <xdr:row>26</xdr:row>
      <xdr:rowOff>120805</xdr:rowOff>
    </xdr:to>
    <xdr:graphicFrame macro="">
      <xdr:nvGraphicFramePr>
        <xdr:cNvPr id="23" name="Chart 22">
          <a:extLst>
            <a:ext uri="{FF2B5EF4-FFF2-40B4-BE49-F238E27FC236}">
              <a16:creationId xmlns:a16="http://schemas.microsoft.com/office/drawing/2014/main" id="{D403CE99-7DC1-4DAF-9BC6-3788DAE17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501805</xdr:colOff>
      <xdr:row>8</xdr:row>
      <xdr:rowOff>46464</xdr:rowOff>
    </xdr:from>
    <xdr:to>
      <xdr:col>20</xdr:col>
      <xdr:colOff>83635</xdr:colOff>
      <xdr:row>26</xdr:row>
      <xdr:rowOff>130097</xdr:rowOff>
    </xdr:to>
    <xdr:graphicFrame macro="">
      <xdr:nvGraphicFramePr>
        <xdr:cNvPr id="24" name="Chart 23">
          <a:extLst>
            <a:ext uri="{FF2B5EF4-FFF2-40B4-BE49-F238E27FC236}">
              <a16:creationId xmlns:a16="http://schemas.microsoft.com/office/drawing/2014/main" id="{B46C9DFC-F722-4FDB-ACCF-9728B529C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576147</xdr:colOff>
      <xdr:row>27</xdr:row>
      <xdr:rowOff>46462</xdr:rowOff>
    </xdr:from>
    <xdr:to>
      <xdr:col>20</xdr:col>
      <xdr:colOff>83636</xdr:colOff>
      <xdr:row>44</xdr:row>
      <xdr:rowOff>157975</xdr:rowOff>
    </xdr:to>
    <xdr:graphicFrame macro="">
      <xdr:nvGraphicFramePr>
        <xdr:cNvPr id="25" name="Chart 24">
          <a:extLst>
            <a:ext uri="{FF2B5EF4-FFF2-40B4-BE49-F238E27FC236}">
              <a16:creationId xmlns:a16="http://schemas.microsoft.com/office/drawing/2014/main" id="{5BECF494-332F-41B8-A3C5-C5CA19C12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93299</xdr:colOff>
      <xdr:row>2</xdr:row>
      <xdr:rowOff>92741</xdr:rowOff>
    </xdr:from>
    <xdr:to>
      <xdr:col>22</xdr:col>
      <xdr:colOff>583952</xdr:colOff>
      <xdr:row>9</xdr:row>
      <xdr:rowOff>130098</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0DAA2859-C535-0143-5D44-EBA6389617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474762" y="445863"/>
              <a:ext cx="1828800" cy="1524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108725</xdr:colOff>
      <xdr:row>17</xdr:row>
      <xdr:rowOff>70997</xdr:rowOff>
    </xdr:from>
    <xdr:to>
      <xdr:col>22</xdr:col>
      <xdr:colOff>599378</xdr:colOff>
      <xdr:row>23</xdr:row>
      <xdr:rowOff>9293</xdr:rowOff>
    </xdr:to>
    <mc:AlternateContent xmlns:mc="http://schemas.openxmlformats.org/markup-compatibility/2006">
      <mc:Choice xmlns:a14="http://schemas.microsoft.com/office/drawing/2010/main" Requires="a14">
        <xdr:graphicFrame macro="">
          <xdr:nvGraphicFramePr>
            <xdr:cNvPr id="27" name="Channel">
              <a:extLst>
                <a:ext uri="{FF2B5EF4-FFF2-40B4-BE49-F238E27FC236}">
                  <a16:creationId xmlns:a16="http://schemas.microsoft.com/office/drawing/2014/main" id="{4B2A6BD0-B00C-D2BC-699F-D9B43E66283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3490188" y="3323436"/>
              <a:ext cx="1828800" cy="997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74342</xdr:colOff>
      <xdr:row>23</xdr:row>
      <xdr:rowOff>74341</xdr:rowOff>
    </xdr:from>
    <xdr:to>
      <xdr:col>25</xdr:col>
      <xdr:colOff>278781</xdr:colOff>
      <xdr:row>43</xdr:row>
      <xdr:rowOff>167269</xdr:rowOff>
    </xdr:to>
    <xdr:sp macro="" textlink="">
      <xdr:nvSpPr>
        <xdr:cNvPr id="31" name="Rectangle: Rounded Corners 30">
          <a:extLst>
            <a:ext uri="{FF2B5EF4-FFF2-40B4-BE49-F238E27FC236}">
              <a16:creationId xmlns:a16="http://schemas.microsoft.com/office/drawing/2014/main" id="{B2A0FA55-778E-1FE5-D77B-A3106155BB68}"/>
            </a:ext>
          </a:extLst>
        </xdr:cNvPr>
        <xdr:cNvSpPr/>
      </xdr:nvSpPr>
      <xdr:spPr>
        <a:xfrm>
          <a:off x="13455805" y="4386146"/>
          <a:ext cx="3549805" cy="3624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KEY BUSINESS INSIGHTS — OVERALL</a:t>
          </a:r>
        </a:p>
        <a:p>
          <a:pPr algn="l"/>
          <a:endParaRPr lang="en-US" sz="1100" b="1"/>
        </a:p>
        <a:p>
          <a:pPr algn="l"/>
          <a:r>
            <a:rPr lang="en-US" sz="1100" b="1"/>
            <a:t>• South generated the highest revenue at ₹118,668, while West produced the highest profit at ₹30,858.</a:t>
          </a:r>
        </a:p>
        <a:p>
          <a:pPr algn="l"/>
          <a:endParaRPr lang="en-US" sz="1100" b="1"/>
        </a:p>
        <a:p>
          <a:pPr algn="l"/>
          <a:r>
            <a:rPr lang="en-US" sz="1100" b="1"/>
            <a:t>• West achieved the strongest regional profit margin at 27.0%; North recorded the lowest at 21.7%.</a:t>
          </a:r>
        </a:p>
        <a:p>
          <a:pPr algn="l"/>
          <a:endParaRPr lang="en-US" sz="1100" b="1"/>
        </a:p>
        <a:p>
          <a:pPr algn="l"/>
          <a:r>
            <a:rPr lang="en-US" sz="1100" b="1"/>
            <a:t>• USB-C Hub generated the highest product revenue at ₹85,455 but had the lowest product margin at 19.6%.</a:t>
          </a:r>
        </a:p>
        <a:p>
          <a:pPr algn="l"/>
          <a:endParaRPr lang="en-US" sz="1100"/>
        </a:p>
        <a:p>
          <a:pPr algn="l"/>
          <a:r>
            <a:rPr lang="en-US" sz="1100"/>
            <a:t>• Notebook Set generated the lowest revenue but achieved the highest product margin at 29.4%.</a:t>
          </a:r>
        </a:p>
        <a:p>
          <a:pPr algn="l"/>
          <a:endParaRPr lang="en-US" sz="1100"/>
        </a:p>
        <a:p>
          <a:pPr algn="l"/>
          <a:r>
            <a:rPr lang="en-US" sz="1100"/>
            <a:t>• January, May and September recorded the highest monthly revenue, while May and September produced the highest profit.</a:t>
          </a:r>
        </a:p>
      </xdr:txBody>
    </xdr:sp>
    <xdr:clientData/>
  </xdr:twoCellAnchor>
  <xdr:twoCellAnchor editAs="oneCell">
    <xdr:from>
      <xdr:col>20</xdr:col>
      <xdr:colOff>99432</xdr:colOff>
      <xdr:row>9</xdr:row>
      <xdr:rowOff>66721</xdr:rowOff>
    </xdr:from>
    <xdr:to>
      <xdr:col>22</xdr:col>
      <xdr:colOff>590085</xdr:colOff>
      <xdr:row>17</xdr:row>
      <xdr:rowOff>65048</xdr:rowOff>
    </xdr:to>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DAE6C8D6-0A64-8306-5787-9348CC5A45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480895" y="1906672"/>
              <a:ext cx="1828800" cy="1410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365959</xdr:colOff>
      <xdr:row>9</xdr:row>
      <xdr:rowOff>140368</xdr:rowOff>
    </xdr:from>
    <xdr:to>
      <xdr:col>3</xdr:col>
      <xdr:colOff>2097704</xdr:colOff>
      <xdr:row>25</xdr:row>
      <xdr:rowOff>84221</xdr:rowOff>
    </xdr:to>
    <xdr:graphicFrame macro="">
      <xdr:nvGraphicFramePr>
        <xdr:cNvPr id="2" name="Chart 1">
          <a:extLst>
            <a:ext uri="{FF2B5EF4-FFF2-40B4-BE49-F238E27FC236}">
              <a16:creationId xmlns:a16="http://schemas.microsoft.com/office/drawing/2014/main" id="{84FD67F0-4A45-9947-F4A6-64E6C3E59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4351421</xdr:colOff>
      <xdr:row>22</xdr:row>
      <xdr:rowOff>40105</xdr:rowOff>
    </xdr:from>
    <xdr:to>
      <xdr:col>5</xdr:col>
      <xdr:colOff>6827921</xdr:colOff>
      <xdr:row>27</xdr:row>
      <xdr:rowOff>10026</xdr:rowOff>
    </xdr:to>
    <xdr:sp macro="" textlink="">
      <xdr:nvSpPr>
        <xdr:cNvPr id="3" name="Rectangle: Rounded Corners 2">
          <a:extLst>
            <a:ext uri="{FF2B5EF4-FFF2-40B4-BE49-F238E27FC236}">
              <a16:creationId xmlns:a16="http://schemas.microsoft.com/office/drawing/2014/main" id="{A1203C0D-7E2D-3439-17AF-F25F6D006D00}"/>
            </a:ext>
          </a:extLst>
        </xdr:cNvPr>
        <xdr:cNvSpPr/>
      </xdr:nvSpPr>
      <xdr:spPr>
        <a:xfrm>
          <a:off x="8261684" y="3789947"/>
          <a:ext cx="7359316" cy="8221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West generated the highest profit because its 27.0% profit margin was higher than South’s 23.5%, despite South generating more revenue.</a:t>
          </a:r>
          <a:endParaRPr lang="en-US" sz="16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30480</xdr:rowOff>
    </xdr:from>
    <xdr:to>
      <xdr:col>5</xdr:col>
      <xdr:colOff>217170</xdr:colOff>
      <xdr:row>28</xdr:row>
      <xdr:rowOff>160020</xdr:rowOff>
    </xdr:to>
    <xdr:graphicFrame macro="">
      <xdr:nvGraphicFramePr>
        <xdr:cNvPr id="2" name="Chart 1">
          <a:extLst>
            <a:ext uri="{FF2B5EF4-FFF2-40B4-BE49-F238E27FC236}">
              <a16:creationId xmlns:a16="http://schemas.microsoft.com/office/drawing/2014/main" id="{9073E786-0D50-F350-1FBF-84D5D4FEC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2049780</xdr:colOff>
      <xdr:row>16</xdr:row>
      <xdr:rowOff>91440</xdr:rowOff>
    </xdr:from>
    <xdr:to>
      <xdr:col>9</xdr:col>
      <xdr:colOff>3619500</xdr:colOff>
      <xdr:row>23</xdr:row>
      <xdr:rowOff>38100</xdr:rowOff>
    </xdr:to>
    <xdr:sp macro="" textlink="">
      <xdr:nvSpPr>
        <xdr:cNvPr id="3" name="Rectangle: Rounded Corners 2">
          <a:extLst>
            <a:ext uri="{FF2B5EF4-FFF2-40B4-BE49-F238E27FC236}">
              <a16:creationId xmlns:a16="http://schemas.microsoft.com/office/drawing/2014/main" id="{768C49C3-F3CB-2067-5BB4-BB649DB8DA59}"/>
            </a:ext>
          </a:extLst>
        </xdr:cNvPr>
        <xdr:cNvSpPr/>
      </xdr:nvSpPr>
      <xdr:spPr>
        <a:xfrm>
          <a:off x="7863840" y="3444240"/>
          <a:ext cx="4762500" cy="1173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t>USB-C Hub generated the highest revenue but had the lowest profit margin, while Notebook Set generated the lowest revenue but achieved the highest margin. This demonstrates that high revenue does not necessarily mean high profitability.</a:t>
          </a:r>
        </a:p>
        <a:p>
          <a:pPr algn="l"/>
          <a:endParaRPr lang="en-US" sz="11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396240</xdr:colOff>
      <xdr:row>11</xdr:row>
      <xdr:rowOff>22860</xdr:rowOff>
    </xdr:from>
    <xdr:to>
      <xdr:col>7</xdr:col>
      <xdr:colOff>3596640</xdr:colOff>
      <xdr:row>26</xdr:row>
      <xdr:rowOff>137160</xdr:rowOff>
    </xdr:to>
    <xdr:graphicFrame macro="">
      <xdr:nvGraphicFramePr>
        <xdr:cNvPr id="2" name="Chart 1">
          <a:extLst>
            <a:ext uri="{FF2B5EF4-FFF2-40B4-BE49-F238E27FC236}">
              <a16:creationId xmlns:a16="http://schemas.microsoft.com/office/drawing/2014/main" id="{C956B2DF-012C-B643-361C-4D03AD643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358140</xdr:colOff>
      <xdr:row>18</xdr:row>
      <xdr:rowOff>160020</xdr:rowOff>
    </xdr:from>
    <xdr:to>
      <xdr:col>9</xdr:col>
      <xdr:colOff>7620</xdr:colOff>
      <xdr:row>23</xdr:row>
      <xdr:rowOff>106680</xdr:rowOff>
    </xdr:to>
    <xdr:sp macro="" textlink="">
      <xdr:nvSpPr>
        <xdr:cNvPr id="3" name="Rectangle: Rounded Corners 2">
          <a:extLst>
            <a:ext uri="{FF2B5EF4-FFF2-40B4-BE49-F238E27FC236}">
              <a16:creationId xmlns:a16="http://schemas.microsoft.com/office/drawing/2014/main" id="{EDC5FC13-7A7D-BB88-1CF8-BCF8B602A385}"/>
            </a:ext>
          </a:extLst>
        </xdr:cNvPr>
        <xdr:cNvSpPr/>
      </xdr:nvSpPr>
      <xdr:spPr>
        <a:xfrm>
          <a:off x="8869680" y="3314700"/>
          <a:ext cx="509778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January, May and September generated the highest revenue. However, May and September produced more profit than January, showing that equal revenue can produce different profit results.</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dev Nilappanwar" refreshedDate="46224.867467129632" createdVersion="8" refreshedVersion="8" minRefreshableVersion="3" recordCount="120" xr:uid="{FD7074E3-CA61-4B40-BE7D-EF66AEED3615}">
  <cacheSource type="worksheet">
    <worksheetSource name="Table1"/>
  </cacheSource>
  <cacheFields count="17">
    <cacheField name="Order ID" numFmtId="0">
      <sharedItems/>
    </cacheField>
    <cacheField name="Order Date" numFmtId="164">
      <sharedItems containsSemiMixedTypes="0" containsNonDate="0" containsDate="1" containsString="0" minDate="2025-01-01T00:00:00" maxDate="2025-12-27T00:00:00" count="108">
        <d v="2025-08-12T00:00:00"/>
        <d v="2025-03-23T00:00:00"/>
        <d v="2025-10-07T00:00:00"/>
        <d v="2025-05-18T00:00:00"/>
        <d v="2025-12-02T00:00:00"/>
        <d v="2025-07-13T00:00:00"/>
        <d v="2025-02-24T00:00:00"/>
        <d v="2025-09-08T00:00:00"/>
        <d v="2025-04-19T00:00:00"/>
        <d v="2025-11-03T00:00:00"/>
        <d v="2025-06-14T00:00:00"/>
        <d v="2025-01-25T00:00:00"/>
        <d v="2025-08-09T00:00:00"/>
        <d v="2025-03-20T00:00:00"/>
        <d v="2025-10-04T00:00:00"/>
        <d v="2025-05-15T00:00:00"/>
        <d v="2025-12-26T00:00:00"/>
        <d v="2025-07-10T00:00:00"/>
        <d v="2025-02-21T00:00:00"/>
        <d v="2025-09-05T00:00:00"/>
        <d v="2025-04-16T00:00:00"/>
        <d v="2025-11-27T00:00:00"/>
        <d v="2025-06-11T00:00:00"/>
        <d v="2025-01-22T00:00:00"/>
        <d v="2025-08-06T00:00:00"/>
        <d v="2025-03-17T00:00:00"/>
        <d v="2025-10-01T00:00:00"/>
        <d v="2025-05-12T00:00:00"/>
        <d v="2025-12-23T00:00:00"/>
        <d v="2025-07-07T00:00:00"/>
        <d v="2025-02-18T00:00:00"/>
        <d v="2025-09-02T00:00:00"/>
        <d v="2025-04-13T00:00:00"/>
        <d v="2025-11-24T00:00:00"/>
        <d v="2025-06-08T00:00:00"/>
        <d v="2025-01-19T00:00:00"/>
        <d v="2025-08-03T00:00:00"/>
        <d v="2025-03-14T00:00:00"/>
        <d v="2025-10-25T00:00:00"/>
        <d v="2025-05-09T00:00:00"/>
        <d v="2025-12-20T00:00:00"/>
        <d v="2025-07-04T00:00:00"/>
        <d v="2025-02-15T00:00:00"/>
        <d v="2025-09-26T00:00:00"/>
        <d v="2025-04-10T00:00:00"/>
        <d v="2025-11-21T00:00:00"/>
        <d v="2025-06-05T00:00:00"/>
        <d v="2025-01-16T00:00:00"/>
        <d v="2025-08-27T00:00:00"/>
        <d v="2025-03-11T00:00:00"/>
        <d v="2025-10-22T00:00:00"/>
        <d v="2025-05-06T00:00:00"/>
        <d v="2025-12-17T00:00:00"/>
        <d v="2025-07-01T00:00:00"/>
        <d v="2025-02-12T00:00:00"/>
        <d v="2025-09-23T00:00:00"/>
        <d v="2025-04-07T00:00:00"/>
        <d v="2025-11-18T00:00:00"/>
        <d v="2025-06-02T00:00:00"/>
        <d v="2025-01-13T00:00:00"/>
        <d v="2025-08-24T00:00:00"/>
        <d v="2025-03-08T00:00:00"/>
        <d v="2025-10-19T00:00:00"/>
        <d v="2025-05-03T00:00:00"/>
        <d v="2025-12-14T00:00:00"/>
        <d v="2025-07-25T00:00:00"/>
        <d v="2025-02-09T00:00:00"/>
        <d v="2025-09-20T00:00:00"/>
        <d v="2025-04-04T00:00:00"/>
        <d v="2025-11-15T00:00:00"/>
        <d v="2025-06-26T00:00:00"/>
        <d v="2025-01-10T00:00:00"/>
        <d v="2025-08-21T00:00:00"/>
        <d v="2025-03-05T00:00:00"/>
        <d v="2025-10-16T00:00:00"/>
        <d v="2025-05-27T00:00:00"/>
        <d v="2025-12-11T00:00:00"/>
        <d v="2025-07-22T00:00:00"/>
        <d v="2025-02-06T00:00:00"/>
        <d v="2025-09-17T00:00:00"/>
        <d v="2025-04-01T00:00:00"/>
        <d v="2025-11-12T00:00:00"/>
        <d v="2025-06-23T00:00:00"/>
        <d v="2025-01-07T00:00:00"/>
        <d v="2025-08-18T00:00:00"/>
        <d v="2025-03-02T00:00:00"/>
        <d v="2025-10-13T00:00:00"/>
        <d v="2025-05-24T00:00:00"/>
        <d v="2025-12-08T00:00:00"/>
        <d v="2025-07-19T00:00:00"/>
        <d v="2025-02-03T00:00:00"/>
        <d v="2025-09-14T00:00:00"/>
        <d v="2025-04-25T00:00:00"/>
        <d v="2025-11-09T00:00:00"/>
        <d v="2025-06-20T00:00:00"/>
        <d v="2025-01-04T00:00:00"/>
        <d v="2025-08-15T00:00:00"/>
        <d v="2025-03-26T00:00:00"/>
        <d v="2025-10-10T00:00:00"/>
        <d v="2025-05-21T00:00:00"/>
        <d v="2025-12-05T00:00:00"/>
        <d v="2025-07-16T00:00:00"/>
        <d v="2025-02-27T00:00:00"/>
        <d v="2025-09-11T00:00:00"/>
        <d v="2025-04-22T00:00:00"/>
        <d v="2025-11-06T00:00:00"/>
        <d v="2025-06-17T00:00:00"/>
        <d v="2025-01-01T00:00:00"/>
      </sharedItems>
      <fieldGroup par="16"/>
    </cacheField>
    <cacheField name="City" numFmtId="0">
      <sharedItems containsBlank="1"/>
    </cacheField>
    <cacheField name="Region" numFmtId="0">
      <sharedItems count="4">
        <s v="North"/>
        <s v="South"/>
        <s v="West"/>
        <s v="East"/>
      </sharedItems>
    </cacheField>
    <cacheField name="Channel" numFmtId="0">
      <sharedItems count="2">
        <s v="Store"/>
        <s v="Online"/>
      </sharedItems>
    </cacheField>
    <cacheField name="Product" numFmtId="0">
      <sharedItems count="8">
        <s v="Water Bottle"/>
        <s v="Notebook Set"/>
        <s v="Laptop Stand"/>
        <s v="USB-C Hub"/>
        <s v="Keyboard"/>
        <s v="Backpack"/>
        <s v="Desk Lamp"/>
        <s v="Wireless Mouse"/>
      </sharedItems>
    </cacheField>
    <cacheField name="Category" numFmtId="0">
      <sharedItems containsBlank="1" count="5">
        <s v="Lifestyle"/>
        <s v="Stationery"/>
        <s v="Office Supplies"/>
        <s v="Electronics"/>
        <m u="1"/>
      </sharedItems>
    </cacheField>
    <cacheField name="Quantity" numFmtId="1">
      <sharedItems containsSemiMixedTypes="0" containsString="0" containsNumber="1" containsInteger="1" minValue="1" maxValue="5"/>
    </cacheField>
    <cacheField name="Unit Price" numFmtId="165">
      <sharedItems containsSemiMixedTypes="0" containsString="0" containsNumber="1" containsInteger="1" minValue="349" maxValue="1899"/>
    </cacheField>
    <cacheField name="Discount" numFmtId="9">
      <sharedItems containsSemiMixedTypes="0" containsString="0" containsNumber="1" minValue="0" maxValue="0.15"/>
    </cacheField>
    <cacheField name="Revenue" numFmtId="165">
      <sharedItems containsSemiMixedTypes="0" containsString="0" containsNumber="1" containsInteger="1" minValue="314" maxValue="9495"/>
    </cacheField>
    <cacheField name="Profit" numFmtId="165">
      <sharedItems containsSemiMixedTypes="0" containsString="0" containsNumber="1" containsInteger="1" minValue="-80" maxValue="1943"/>
    </cacheField>
    <cacheField name="Customer Rating" numFmtId="166">
      <sharedItems containsString="0" containsBlank="1" containsNumber="1" containsInteger="1" minValue="3" maxValue="5"/>
    </cacheField>
    <cacheField name="Profit Margin Formula: " numFmtId="0" formula="Profit/Revenue" databaseField="0"/>
    <cacheField name="Profit Margin" numFmtId="0" formula="Profit/Revenue" databaseField="0"/>
    <cacheField name="Months (Order Date)" numFmtId="0" databaseField="0">
      <fieldGroup base="1">
        <rangePr groupBy="months" startDate="2025-01-01T00:00:00" endDate="2025-12-27T00:00:00"/>
        <groupItems count="14">
          <s v="&lt;1/1/2025"/>
          <s v="Jan"/>
          <s v="Feb"/>
          <s v="Mar"/>
          <s v="Apr"/>
          <s v="May"/>
          <s v="Jun"/>
          <s v="Jul"/>
          <s v="Aug"/>
          <s v="Sep"/>
          <s v="Oct"/>
          <s v="Nov"/>
          <s v="Dec"/>
          <s v="&gt;12/27/2025"/>
        </groupItems>
      </fieldGroup>
    </cacheField>
    <cacheField name="Years (Order Date)" numFmtId="0" databaseField="0">
      <fieldGroup base="1">
        <rangePr groupBy="years" startDate="2025-01-01T00:00:00" endDate="2025-12-27T00:00:00"/>
        <groupItems count="3">
          <s v="&lt;1/1/2025"/>
          <s v="2025"/>
          <s v="&gt;12/27/2025"/>
        </groupItems>
      </fieldGroup>
    </cacheField>
  </cacheFields>
  <extLst>
    <ext xmlns:x14="http://schemas.microsoft.com/office/spreadsheetml/2009/9/main" uri="{725AE2AE-9491-48be-B2B4-4EB974FC3084}">
      <x14:pivotCacheDefinition pivotCacheId="1940448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01"/>
    <x v="0"/>
    <s v="Delhi"/>
    <x v="0"/>
    <x v="0"/>
    <x v="0"/>
    <x v="0"/>
    <n v="3"/>
    <n v="599"/>
    <n v="0.05"/>
    <n v="1707"/>
    <n v="512"/>
    <n v="4"/>
  </r>
  <r>
    <s v="ORD-0002"/>
    <x v="1"/>
    <s v="Bengaluru"/>
    <x v="1"/>
    <x v="1"/>
    <x v="1"/>
    <x v="1"/>
    <n v="5"/>
    <n v="349"/>
    <n v="0.1"/>
    <n v="1571"/>
    <n v="503"/>
    <n v="5"/>
  </r>
  <r>
    <s v="ORD-0003"/>
    <x v="2"/>
    <s v="Mumbai"/>
    <x v="2"/>
    <x v="0"/>
    <x v="2"/>
    <x v="2"/>
    <n v="2"/>
    <n v="1299"/>
    <n v="0.15"/>
    <n v="2208"/>
    <n v="618"/>
    <n v="3"/>
  </r>
  <r>
    <s v="ORD-0004"/>
    <x v="3"/>
    <s v="Jaipur"/>
    <x v="0"/>
    <x v="1"/>
    <x v="3"/>
    <x v="3"/>
    <n v="4"/>
    <n v="1899"/>
    <n v="0"/>
    <n v="7596"/>
    <n v="1519"/>
    <n v="4"/>
  </r>
  <r>
    <s v="ORD-0005"/>
    <x v="4"/>
    <s v="Chennai"/>
    <x v="1"/>
    <x v="0"/>
    <x v="4"/>
    <x v="3"/>
    <n v="1"/>
    <n v="1499"/>
    <n v="0.05"/>
    <n v="1424"/>
    <n v="342"/>
    <n v="5"/>
  </r>
  <r>
    <s v="ORD-0006"/>
    <x v="5"/>
    <s v="Pune"/>
    <x v="2"/>
    <x v="1"/>
    <x v="5"/>
    <x v="0"/>
    <n v="3"/>
    <n v="1599"/>
    <n v="0.1"/>
    <n v="4317"/>
    <n v="1166"/>
    <n v="3"/>
  </r>
  <r>
    <s v="ORD-0007"/>
    <x v="6"/>
    <s v="Kolkata"/>
    <x v="3"/>
    <x v="0"/>
    <x v="6"/>
    <x v="2"/>
    <n v="5"/>
    <n v="1199"/>
    <n v="0.15"/>
    <n v="5096"/>
    <n v="1325"/>
    <n v="4"/>
  </r>
  <r>
    <s v="ORD-0008"/>
    <x v="7"/>
    <s v="Hyderabad"/>
    <x v="1"/>
    <x v="1"/>
    <x v="7"/>
    <x v="3"/>
    <n v="2"/>
    <n v="899"/>
    <n v="0"/>
    <n v="1798"/>
    <n v="396"/>
    <n v="5"/>
  </r>
  <r>
    <s v="ORD-0009"/>
    <x v="8"/>
    <s v="Delhi"/>
    <x v="0"/>
    <x v="0"/>
    <x v="0"/>
    <x v="0"/>
    <n v="4"/>
    <n v="599"/>
    <n v="0.05"/>
    <n v="2276"/>
    <n v="503"/>
    <n v="3"/>
  </r>
  <r>
    <s v="ORD-0010"/>
    <x v="9"/>
    <s v="Bengaluru"/>
    <x v="1"/>
    <x v="1"/>
    <x v="1"/>
    <x v="1"/>
    <n v="1"/>
    <n v="349"/>
    <n v="0.1"/>
    <n v="314"/>
    <n v="100"/>
    <n v="4"/>
  </r>
  <r>
    <s v="ORD-0011"/>
    <x v="10"/>
    <s v="Mumbai"/>
    <x v="2"/>
    <x v="0"/>
    <x v="2"/>
    <x v="2"/>
    <n v="3"/>
    <n v="1299"/>
    <n v="0.15"/>
    <n v="3312"/>
    <n v="927"/>
    <n v="5"/>
  </r>
  <r>
    <s v="ORD-0012"/>
    <x v="11"/>
    <s v="Jaipur"/>
    <x v="0"/>
    <x v="1"/>
    <x v="3"/>
    <x v="3"/>
    <n v="5"/>
    <n v="1899"/>
    <n v="0"/>
    <n v="9495"/>
    <n v="1899"/>
    <n v="3"/>
  </r>
  <r>
    <s v="ORD-0013"/>
    <x v="12"/>
    <s v="Chennai"/>
    <x v="1"/>
    <x v="0"/>
    <x v="4"/>
    <x v="3"/>
    <n v="2"/>
    <n v="1499"/>
    <n v="0.05"/>
    <n v="2848"/>
    <n v="684"/>
    <n v="4"/>
  </r>
  <r>
    <s v="ORD-0014"/>
    <x v="13"/>
    <s v="Pune"/>
    <x v="2"/>
    <x v="1"/>
    <x v="5"/>
    <x v="0"/>
    <n v="4"/>
    <n v="1599"/>
    <n v="0.1"/>
    <n v="5756"/>
    <n v="1554"/>
    <n v="5"/>
  </r>
  <r>
    <s v="ORD-0015"/>
    <x v="14"/>
    <s v="Kolkata"/>
    <x v="3"/>
    <x v="0"/>
    <x v="6"/>
    <x v="2"/>
    <n v="1"/>
    <n v="1199"/>
    <n v="0.15"/>
    <n v="1019"/>
    <n v="265"/>
    <n v="3"/>
  </r>
  <r>
    <s v="ORD-0016"/>
    <x v="15"/>
    <s v="Hyderabad"/>
    <x v="1"/>
    <x v="1"/>
    <x v="7"/>
    <x v="3"/>
    <n v="3"/>
    <n v="899"/>
    <n v="0"/>
    <n v="2697"/>
    <n v="593"/>
    <n v="4"/>
  </r>
  <r>
    <s v="ORD-0017"/>
    <x v="16"/>
    <s v="Delhi"/>
    <x v="0"/>
    <x v="0"/>
    <x v="0"/>
    <x v="0"/>
    <n v="5"/>
    <n v="599"/>
    <n v="0.05"/>
    <n v="2845"/>
    <n v="854"/>
    <m/>
  </r>
  <r>
    <s v="ORD-0018"/>
    <x v="17"/>
    <s v="Bengaluru"/>
    <x v="1"/>
    <x v="1"/>
    <x v="1"/>
    <x v="1"/>
    <n v="2"/>
    <n v="349"/>
    <n v="0.1"/>
    <n v="628"/>
    <n v="21"/>
    <n v="3"/>
  </r>
  <r>
    <s v="ORD-0019"/>
    <x v="18"/>
    <s v="Mumbai"/>
    <x v="2"/>
    <x v="0"/>
    <x v="2"/>
    <x v="2"/>
    <n v="4"/>
    <n v="1299"/>
    <n v="0.15"/>
    <n v="4417"/>
    <n v="1237"/>
    <n v="4"/>
  </r>
  <r>
    <s v="ORD-0020"/>
    <x v="19"/>
    <s v="Jaipur"/>
    <x v="0"/>
    <x v="1"/>
    <x v="3"/>
    <x v="3"/>
    <n v="1"/>
    <n v="1899"/>
    <n v="0"/>
    <n v="1899"/>
    <n v="380"/>
    <n v="5"/>
  </r>
  <r>
    <s v="ORD-0021"/>
    <x v="20"/>
    <s v="Chennai"/>
    <x v="1"/>
    <x v="0"/>
    <x v="4"/>
    <x v="3"/>
    <n v="3"/>
    <n v="1499"/>
    <n v="0.05"/>
    <n v="4272"/>
    <n v="1025"/>
    <n v="3"/>
  </r>
  <r>
    <s v="ORD-0022"/>
    <x v="21"/>
    <s v="Pune"/>
    <x v="2"/>
    <x v="1"/>
    <x v="5"/>
    <x v="0"/>
    <n v="5"/>
    <n v="1599"/>
    <n v="0.1"/>
    <n v="7196"/>
    <n v="1943"/>
    <n v="4"/>
  </r>
  <r>
    <s v="ORD-0023"/>
    <x v="22"/>
    <s v="Kolkata"/>
    <x v="3"/>
    <x v="0"/>
    <x v="6"/>
    <x v="2"/>
    <n v="2"/>
    <n v="1199"/>
    <n v="0.15"/>
    <n v="2038"/>
    <n v="530"/>
    <n v="5"/>
  </r>
  <r>
    <s v="ORD-0024"/>
    <x v="23"/>
    <s v="Hyderabad"/>
    <x v="1"/>
    <x v="1"/>
    <x v="7"/>
    <x v="3"/>
    <n v="4"/>
    <n v="899"/>
    <n v="0"/>
    <n v="3596"/>
    <n v="791"/>
    <n v="3"/>
  </r>
  <r>
    <s v="ORD-0025"/>
    <x v="24"/>
    <s v="Delhi"/>
    <x v="0"/>
    <x v="0"/>
    <x v="0"/>
    <x v="0"/>
    <n v="1"/>
    <n v="599"/>
    <n v="0.05"/>
    <n v="569"/>
    <n v="171"/>
    <n v="4"/>
  </r>
  <r>
    <s v="ORD-0026"/>
    <x v="25"/>
    <s v="Bengaluru"/>
    <x v="1"/>
    <x v="1"/>
    <x v="1"/>
    <x v="1"/>
    <n v="3"/>
    <n v="349"/>
    <n v="0.1"/>
    <n v="942"/>
    <n v="301"/>
    <n v="5"/>
  </r>
  <r>
    <s v="ORD-0027"/>
    <x v="26"/>
    <s v="Mumbai"/>
    <x v="2"/>
    <x v="0"/>
    <x v="2"/>
    <x v="2"/>
    <n v="5"/>
    <n v="1299"/>
    <n v="0.15"/>
    <n v="5521"/>
    <n v="1366"/>
    <n v="3"/>
  </r>
  <r>
    <s v="ORD-0028"/>
    <x v="27"/>
    <s v="Jaipur"/>
    <x v="0"/>
    <x v="1"/>
    <x v="3"/>
    <x v="3"/>
    <n v="2"/>
    <n v="1899"/>
    <n v="0"/>
    <n v="3798"/>
    <n v="760"/>
    <n v="4"/>
  </r>
  <r>
    <s v="ORD-0029"/>
    <x v="28"/>
    <s v="Chennai"/>
    <x v="1"/>
    <x v="0"/>
    <x v="4"/>
    <x v="3"/>
    <n v="4"/>
    <n v="1499"/>
    <n v="0.05"/>
    <n v="5696"/>
    <n v="1367"/>
    <n v="5"/>
  </r>
  <r>
    <s v="ORD-0030"/>
    <x v="29"/>
    <s v="Pune"/>
    <x v="2"/>
    <x v="1"/>
    <x v="5"/>
    <x v="0"/>
    <n v="1"/>
    <n v="1599"/>
    <n v="0.1"/>
    <n v="1439"/>
    <n v="389"/>
    <n v="3"/>
  </r>
  <r>
    <s v="ORD-0031"/>
    <x v="30"/>
    <s v="Kolkata"/>
    <x v="3"/>
    <x v="0"/>
    <x v="6"/>
    <x v="2"/>
    <n v="3"/>
    <n v="1199"/>
    <n v="0.15"/>
    <n v="3057"/>
    <n v="795"/>
    <n v="4"/>
  </r>
  <r>
    <s v="ORD-0032"/>
    <x v="31"/>
    <s v="Hyderabad"/>
    <x v="1"/>
    <x v="1"/>
    <x v="7"/>
    <x v="3"/>
    <n v="5"/>
    <n v="899"/>
    <n v="0"/>
    <n v="4495"/>
    <n v="989"/>
    <n v="5"/>
  </r>
  <r>
    <s v="ORD-0033"/>
    <x v="32"/>
    <s v="Delhi"/>
    <x v="0"/>
    <x v="0"/>
    <x v="0"/>
    <x v="0"/>
    <n v="2"/>
    <n v="599"/>
    <n v="0.05"/>
    <n v="1138"/>
    <n v="341"/>
    <n v="3"/>
  </r>
  <r>
    <s v="ORD-0034"/>
    <x v="33"/>
    <s v="Bengaluru"/>
    <x v="1"/>
    <x v="1"/>
    <x v="1"/>
    <x v="1"/>
    <n v="4"/>
    <n v="349"/>
    <n v="0.1"/>
    <n v="1256"/>
    <n v="402"/>
    <n v="4"/>
  </r>
  <r>
    <s v="ORD-0035"/>
    <x v="34"/>
    <s v="Mumbai"/>
    <x v="2"/>
    <x v="0"/>
    <x v="2"/>
    <x v="2"/>
    <n v="1"/>
    <n v="1299"/>
    <n v="0.15"/>
    <n v="1104"/>
    <n v="309"/>
    <n v="5"/>
  </r>
  <r>
    <s v="ORD-0036"/>
    <x v="35"/>
    <s v="Jaipur"/>
    <x v="0"/>
    <x v="1"/>
    <x v="3"/>
    <x v="3"/>
    <n v="3"/>
    <n v="1899"/>
    <n v="0"/>
    <n v="5697"/>
    <n v="959"/>
    <n v="3"/>
  </r>
  <r>
    <s v="ORD-0037"/>
    <x v="36"/>
    <s v="Chennai"/>
    <x v="1"/>
    <x v="0"/>
    <x v="4"/>
    <x v="3"/>
    <n v="5"/>
    <n v="1499"/>
    <n v="0.05"/>
    <n v="7120"/>
    <n v="1709"/>
    <n v="4"/>
  </r>
  <r>
    <s v="ORD-0038"/>
    <x v="37"/>
    <s v="Pune"/>
    <x v="2"/>
    <x v="1"/>
    <x v="5"/>
    <x v="0"/>
    <n v="2"/>
    <n v="1599"/>
    <n v="0.1"/>
    <n v="2878"/>
    <n v="777"/>
    <n v="5"/>
  </r>
  <r>
    <s v="ORD-0039"/>
    <x v="38"/>
    <s v="Kolkata"/>
    <x v="3"/>
    <x v="0"/>
    <x v="6"/>
    <x v="2"/>
    <n v="4"/>
    <n v="1199"/>
    <n v="0.15"/>
    <n v="4077"/>
    <n v="1060"/>
    <n v="3"/>
  </r>
  <r>
    <s v="ORD-0040"/>
    <x v="39"/>
    <s v="Hyderabad"/>
    <x v="1"/>
    <x v="1"/>
    <x v="7"/>
    <x v="3"/>
    <n v="1"/>
    <n v="899"/>
    <n v="0"/>
    <n v="899"/>
    <n v="198"/>
    <n v="4"/>
  </r>
  <r>
    <s v="ORD-0041"/>
    <x v="40"/>
    <s v="Delhi"/>
    <x v="0"/>
    <x v="0"/>
    <x v="0"/>
    <x v="0"/>
    <n v="3"/>
    <n v="599"/>
    <n v="0.05"/>
    <n v="1707"/>
    <n v="512"/>
    <n v="5"/>
  </r>
  <r>
    <s v="ORD-0042"/>
    <x v="41"/>
    <s v="Bengaluru"/>
    <x v="1"/>
    <x v="1"/>
    <x v="1"/>
    <x v="1"/>
    <n v="5"/>
    <n v="349"/>
    <n v="0.1"/>
    <n v="1571"/>
    <n v="503"/>
    <n v="3"/>
  </r>
  <r>
    <s v="ORD-0043"/>
    <x v="42"/>
    <s v="Mumbai"/>
    <x v="2"/>
    <x v="0"/>
    <x v="2"/>
    <x v="2"/>
    <n v="2"/>
    <n v="1299"/>
    <n v="0.15"/>
    <n v="2208"/>
    <n v="618"/>
    <n v="4"/>
  </r>
  <r>
    <s v="ORD-0044"/>
    <x v="43"/>
    <s v="Jaipur"/>
    <x v="0"/>
    <x v="1"/>
    <x v="3"/>
    <x v="3"/>
    <n v="4"/>
    <n v="1899"/>
    <n v="0"/>
    <n v="7596"/>
    <n v="1519"/>
    <n v="5"/>
  </r>
  <r>
    <s v="ORD-0045"/>
    <x v="44"/>
    <s v="Chennai"/>
    <x v="1"/>
    <x v="0"/>
    <x v="4"/>
    <x v="3"/>
    <n v="1"/>
    <n v="1499"/>
    <n v="0.05"/>
    <n v="1424"/>
    <n v="162"/>
    <n v="3"/>
  </r>
  <r>
    <s v="ORD-0046"/>
    <x v="45"/>
    <s v="Pune"/>
    <x v="2"/>
    <x v="1"/>
    <x v="5"/>
    <x v="0"/>
    <n v="3"/>
    <n v="1599"/>
    <n v="0.1"/>
    <n v="4317"/>
    <n v="1166"/>
    <n v="4"/>
  </r>
  <r>
    <s v="ORD-0047"/>
    <x v="46"/>
    <s v="Kolkata"/>
    <x v="3"/>
    <x v="0"/>
    <x v="6"/>
    <x v="2"/>
    <n v="5"/>
    <n v="1199"/>
    <n v="0.15"/>
    <n v="5096"/>
    <n v="1325"/>
    <n v="5"/>
  </r>
  <r>
    <s v="ORD-0048"/>
    <x v="47"/>
    <s v="Hyderabad"/>
    <x v="1"/>
    <x v="1"/>
    <x v="7"/>
    <x v="3"/>
    <n v="2"/>
    <n v="899"/>
    <n v="0"/>
    <n v="1798"/>
    <n v="396"/>
    <n v="3"/>
  </r>
  <r>
    <s v="ORD-0049"/>
    <x v="48"/>
    <s v="Delhi"/>
    <x v="0"/>
    <x v="0"/>
    <x v="0"/>
    <x v="0"/>
    <n v="4"/>
    <n v="599"/>
    <n v="0.05"/>
    <n v="2276"/>
    <n v="683"/>
    <n v="4"/>
  </r>
  <r>
    <s v="ORD-0050"/>
    <x v="49"/>
    <s v="Bengaluru"/>
    <x v="1"/>
    <x v="1"/>
    <x v="1"/>
    <x v="1"/>
    <n v="1"/>
    <n v="349"/>
    <n v="0.1"/>
    <n v="314"/>
    <n v="100"/>
    <n v="5"/>
  </r>
  <r>
    <s v="ORD-0051"/>
    <x v="50"/>
    <s v="Mumbai"/>
    <x v="2"/>
    <x v="0"/>
    <x v="2"/>
    <x v="2"/>
    <n v="3"/>
    <n v="1299"/>
    <n v="0.15"/>
    <n v="3312"/>
    <n v="927"/>
    <n v="3"/>
  </r>
  <r>
    <s v="ORD-0052"/>
    <x v="51"/>
    <s v="Jaipur"/>
    <x v="0"/>
    <x v="1"/>
    <x v="3"/>
    <x v="3"/>
    <n v="5"/>
    <n v="1899"/>
    <n v="0"/>
    <n v="9495"/>
    <n v="1899"/>
    <n v="4"/>
  </r>
  <r>
    <s v="ORD-0053"/>
    <x v="52"/>
    <m/>
    <x v="1"/>
    <x v="0"/>
    <x v="4"/>
    <x v="3"/>
    <n v="2"/>
    <n v="1499"/>
    <n v="0.05"/>
    <n v="2848"/>
    <n v="684"/>
    <n v="5"/>
  </r>
  <r>
    <s v="ORD-0054"/>
    <x v="53"/>
    <s v="Pune"/>
    <x v="2"/>
    <x v="1"/>
    <x v="5"/>
    <x v="0"/>
    <n v="4"/>
    <n v="1599"/>
    <n v="0.1"/>
    <n v="5756"/>
    <n v="1374"/>
    <n v="3"/>
  </r>
  <r>
    <s v="ORD-0055"/>
    <x v="54"/>
    <s v="Kolkata"/>
    <x v="3"/>
    <x v="0"/>
    <x v="6"/>
    <x v="2"/>
    <n v="1"/>
    <n v="1199"/>
    <n v="0.15"/>
    <n v="1019"/>
    <n v="265"/>
    <n v="4"/>
  </r>
  <r>
    <s v="ORD-0056"/>
    <x v="55"/>
    <s v="Hyderabad"/>
    <x v="1"/>
    <x v="1"/>
    <x v="7"/>
    <x v="3"/>
    <n v="3"/>
    <n v="899"/>
    <n v="0"/>
    <n v="2697"/>
    <n v="593"/>
    <n v="5"/>
  </r>
  <r>
    <s v="ORD-0057"/>
    <x v="56"/>
    <s v="Delhi"/>
    <x v="0"/>
    <x v="0"/>
    <x v="0"/>
    <x v="0"/>
    <n v="5"/>
    <n v="599"/>
    <n v="0.05"/>
    <n v="2845"/>
    <n v="854"/>
    <n v="3"/>
  </r>
  <r>
    <s v="ORD-0058"/>
    <x v="57"/>
    <s v="Bengaluru"/>
    <x v="1"/>
    <x v="1"/>
    <x v="1"/>
    <x v="1"/>
    <n v="2"/>
    <n v="349"/>
    <n v="0.1"/>
    <n v="628"/>
    <n v="201"/>
    <n v="4"/>
  </r>
  <r>
    <s v="ORD-0059"/>
    <x v="58"/>
    <s v="Mumbai"/>
    <x v="2"/>
    <x v="0"/>
    <x v="2"/>
    <x v="2"/>
    <n v="4"/>
    <n v="1299"/>
    <n v="0.15"/>
    <n v="4417"/>
    <n v="1237"/>
    <n v="5"/>
  </r>
  <r>
    <s v="ORD-0060"/>
    <x v="59"/>
    <s v="Jaipur"/>
    <x v="0"/>
    <x v="1"/>
    <x v="3"/>
    <x v="3"/>
    <n v="1"/>
    <n v="1899"/>
    <n v="0"/>
    <n v="1899"/>
    <n v="380"/>
    <n v="3"/>
  </r>
  <r>
    <s v="ORD-0061"/>
    <x v="60"/>
    <s v="Chennai"/>
    <x v="1"/>
    <x v="0"/>
    <x v="4"/>
    <x v="3"/>
    <n v="3"/>
    <n v="1499"/>
    <n v="0.05"/>
    <n v="4272"/>
    <n v="1025"/>
    <n v="4"/>
  </r>
  <r>
    <s v="ORD-0062"/>
    <x v="61"/>
    <s v="Pune"/>
    <x v="2"/>
    <x v="1"/>
    <x v="5"/>
    <x v="0"/>
    <n v="5"/>
    <n v="1599"/>
    <n v="0.1"/>
    <n v="7196"/>
    <n v="1943"/>
    <n v="5"/>
  </r>
  <r>
    <s v="ORD-0063"/>
    <x v="62"/>
    <s v="Kolkata"/>
    <x v="3"/>
    <x v="0"/>
    <x v="6"/>
    <x v="2"/>
    <n v="2"/>
    <n v="1199"/>
    <n v="0.15"/>
    <n v="2038"/>
    <n v="350"/>
    <n v="3"/>
  </r>
  <r>
    <s v="ORD-0064"/>
    <x v="63"/>
    <s v="Hyderabad"/>
    <x v="1"/>
    <x v="1"/>
    <x v="7"/>
    <x v="3"/>
    <n v="4"/>
    <n v="899"/>
    <n v="0"/>
    <n v="3596"/>
    <n v="791"/>
    <n v="4"/>
  </r>
  <r>
    <s v="ORD-0065"/>
    <x v="64"/>
    <s v="Delhi"/>
    <x v="0"/>
    <x v="0"/>
    <x v="0"/>
    <x v="0"/>
    <n v="1"/>
    <n v="599"/>
    <n v="0.05"/>
    <n v="569"/>
    <n v="171"/>
    <n v="5"/>
  </r>
  <r>
    <s v="ORD-0066"/>
    <x v="65"/>
    <s v="Bengaluru"/>
    <x v="1"/>
    <x v="1"/>
    <x v="1"/>
    <x v="1"/>
    <n v="3"/>
    <n v="349"/>
    <n v="0.1"/>
    <n v="942"/>
    <n v="301"/>
    <n v="3"/>
  </r>
  <r>
    <s v="ORD-0067"/>
    <x v="66"/>
    <s v="Mumbai"/>
    <x v="2"/>
    <x v="0"/>
    <x v="2"/>
    <x v="2"/>
    <n v="5"/>
    <n v="1299"/>
    <n v="0.15"/>
    <n v="5521"/>
    <n v="1546"/>
    <n v="4"/>
  </r>
  <r>
    <s v="ORD-0068"/>
    <x v="67"/>
    <s v="Jaipur"/>
    <x v="0"/>
    <x v="1"/>
    <x v="3"/>
    <x v="3"/>
    <n v="2"/>
    <n v="1899"/>
    <n v="0"/>
    <n v="3798"/>
    <n v="760"/>
    <n v="5"/>
  </r>
  <r>
    <s v="ORD-0069"/>
    <x v="68"/>
    <s v="Chennai"/>
    <x v="1"/>
    <x v="0"/>
    <x v="4"/>
    <x v="3"/>
    <n v="4"/>
    <n v="1499"/>
    <n v="0.05"/>
    <n v="5696"/>
    <n v="1367"/>
    <n v="3"/>
  </r>
  <r>
    <s v="ORD-0070"/>
    <x v="69"/>
    <s v="Pune"/>
    <x v="2"/>
    <x v="1"/>
    <x v="5"/>
    <x v="0"/>
    <n v="1"/>
    <n v="1599"/>
    <n v="0.1"/>
    <n v="1439"/>
    <n v="389"/>
    <n v="4"/>
  </r>
  <r>
    <s v="ORD-0071"/>
    <x v="70"/>
    <s v="Kolkata"/>
    <x v="3"/>
    <x v="0"/>
    <x v="6"/>
    <x v="2"/>
    <n v="3"/>
    <n v="1199"/>
    <n v="0.15"/>
    <n v="3057"/>
    <n v="795"/>
    <n v="5"/>
  </r>
  <r>
    <s v="ORD-0072"/>
    <x v="71"/>
    <s v="Hyderabad"/>
    <x v="1"/>
    <x v="1"/>
    <x v="7"/>
    <x v="3"/>
    <n v="5"/>
    <n v="899"/>
    <n v="0"/>
    <n v="4495"/>
    <n v="809"/>
    <n v="3"/>
  </r>
  <r>
    <s v="ORD-0073"/>
    <x v="72"/>
    <s v="Delhi"/>
    <x v="0"/>
    <x v="0"/>
    <x v="0"/>
    <x v="0"/>
    <n v="2"/>
    <n v="599"/>
    <n v="0.05"/>
    <n v="1138"/>
    <n v="341"/>
    <n v="4"/>
  </r>
  <r>
    <s v="ORD-0074"/>
    <x v="73"/>
    <s v="Bengaluru"/>
    <x v="1"/>
    <x v="1"/>
    <x v="1"/>
    <x v="1"/>
    <n v="4"/>
    <n v="349"/>
    <n v="0.1"/>
    <n v="1256"/>
    <n v="402"/>
    <n v="5"/>
  </r>
  <r>
    <s v="ORD-0075"/>
    <x v="74"/>
    <s v="Mumbai"/>
    <x v="2"/>
    <x v="0"/>
    <x v="2"/>
    <x v="2"/>
    <n v="1"/>
    <n v="1299"/>
    <n v="0.15"/>
    <n v="1104"/>
    <n v="309"/>
    <n v="3"/>
  </r>
  <r>
    <s v="ORD-0076"/>
    <x v="75"/>
    <s v="Jaipur"/>
    <x v="0"/>
    <x v="1"/>
    <x v="3"/>
    <x v="3"/>
    <n v="3"/>
    <n v="1899"/>
    <n v="0"/>
    <n v="5697"/>
    <n v="1139"/>
    <n v="4"/>
  </r>
  <r>
    <s v="ORD-0077"/>
    <x v="76"/>
    <s v="Chennai"/>
    <x v="1"/>
    <x v="0"/>
    <x v="4"/>
    <x v="3"/>
    <n v="5"/>
    <n v="1499"/>
    <n v="0.05"/>
    <n v="7120"/>
    <n v="1709"/>
    <n v="5"/>
  </r>
  <r>
    <s v="ORD-0078"/>
    <x v="77"/>
    <s v="Pune"/>
    <x v="2"/>
    <x v="1"/>
    <x v="5"/>
    <x v="0"/>
    <n v="2"/>
    <n v="1599"/>
    <n v="0.1"/>
    <n v="2878"/>
    <n v="777"/>
    <n v="3"/>
  </r>
  <r>
    <s v="ORD-0079"/>
    <x v="78"/>
    <s v="Kolkata"/>
    <x v="3"/>
    <x v="0"/>
    <x v="6"/>
    <x v="2"/>
    <n v="4"/>
    <n v="1199"/>
    <n v="0.15"/>
    <n v="4077"/>
    <n v="1060"/>
    <n v="4"/>
  </r>
  <r>
    <s v="ORD-0080"/>
    <x v="79"/>
    <s v="Hyderabad"/>
    <x v="1"/>
    <x v="1"/>
    <x v="7"/>
    <x v="3"/>
    <n v="1"/>
    <n v="899"/>
    <n v="0"/>
    <n v="899"/>
    <n v="198"/>
    <n v="5"/>
  </r>
  <r>
    <s v="ORD-0081"/>
    <x v="80"/>
    <s v="Delhi"/>
    <x v="0"/>
    <x v="0"/>
    <x v="0"/>
    <x v="0"/>
    <n v="3"/>
    <n v="599"/>
    <n v="0.05"/>
    <n v="1707"/>
    <n v="332"/>
    <n v="3"/>
  </r>
  <r>
    <s v="ORD-0082"/>
    <x v="81"/>
    <s v="Bengaluru"/>
    <x v="1"/>
    <x v="1"/>
    <x v="1"/>
    <x v="1"/>
    <n v="5"/>
    <n v="349"/>
    <n v="0.1"/>
    <n v="1571"/>
    <n v="503"/>
    <n v="4"/>
  </r>
  <r>
    <s v="ORD-0083"/>
    <x v="82"/>
    <s v="Mumbai"/>
    <x v="2"/>
    <x v="0"/>
    <x v="2"/>
    <x v="2"/>
    <n v="2"/>
    <n v="1299"/>
    <n v="0.15"/>
    <n v="2208"/>
    <n v="618"/>
    <n v="5"/>
  </r>
  <r>
    <s v="ORD-0084"/>
    <x v="83"/>
    <s v="Jaipur"/>
    <x v="0"/>
    <x v="1"/>
    <x v="3"/>
    <x v="3"/>
    <n v="4"/>
    <n v="1899"/>
    <n v="0"/>
    <n v="7596"/>
    <n v="1519"/>
    <n v="3"/>
  </r>
  <r>
    <s v="ORD-0085"/>
    <x v="84"/>
    <s v="Chennai"/>
    <x v="1"/>
    <x v="0"/>
    <x v="4"/>
    <x v="3"/>
    <n v="1"/>
    <n v="1499"/>
    <n v="0.05"/>
    <n v="1424"/>
    <n v="342"/>
    <n v="4"/>
  </r>
  <r>
    <s v="ORD-0086"/>
    <x v="85"/>
    <s v="Pune"/>
    <x v="2"/>
    <x v="1"/>
    <x v="5"/>
    <x v="0"/>
    <n v="3"/>
    <n v="1599"/>
    <n v="0.1"/>
    <n v="4317"/>
    <n v="1166"/>
    <n v="5"/>
  </r>
  <r>
    <s v="ORD-0087"/>
    <x v="86"/>
    <s v="Kolkata"/>
    <x v="3"/>
    <x v="0"/>
    <x v="6"/>
    <x v="2"/>
    <n v="5"/>
    <n v="1199"/>
    <n v="0.15"/>
    <n v="5096"/>
    <n v="1325"/>
    <n v="3"/>
  </r>
  <r>
    <s v="ORD-0088"/>
    <x v="87"/>
    <s v="Hyderabad"/>
    <x v="1"/>
    <x v="1"/>
    <x v="7"/>
    <x v="3"/>
    <n v="2"/>
    <n v="899"/>
    <n v="0"/>
    <n v="1798"/>
    <n v="396"/>
    <n v="4"/>
  </r>
  <r>
    <s v="ORD-0089"/>
    <x v="88"/>
    <s v="Delhi"/>
    <x v="0"/>
    <x v="0"/>
    <x v="0"/>
    <x v="0"/>
    <n v="4"/>
    <n v="599"/>
    <n v="0.05"/>
    <n v="2276"/>
    <n v="683"/>
    <n v="5"/>
  </r>
  <r>
    <s v="ORD-0090"/>
    <x v="89"/>
    <s v="Bengaluru"/>
    <x v="1"/>
    <x v="1"/>
    <x v="1"/>
    <x v="1"/>
    <n v="1"/>
    <n v="349"/>
    <n v="0.1"/>
    <n v="314"/>
    <n v="-80"/>
    <n v="3"/>
  </r>
  <r>
    <s v="ORD-0091"/>
    <x v="90"/>
    <s v="Mumbai"/>
    <x v="2"/>
    <x v="0"/>
    <x v="2"/>
    <x v="2"/>
    <n v="3"/>
    <n v="1299"/>
    <n v="0.15"/>
    <n v="3312"/>
    <n v="927"/>
    <n v="4"/>
  </r>
  <r>
    <s v="ORD-0092"/>
    <x v="91"/>
    <s v="Jaipur"/>
    <x v="0"/>
    <x v="1"/>
    <x v="3"/>
    <x v="3"/>
    <n v="5"/>
    <n v="1899"/>
    <n v="0"/>
    <n v="9495"/>
    <n v="1899"/>
    <n v="5"/>
  </r>
  <r>
    <s v="ORD-0093"/>
    <x v="92"/>
    <s v="Chennai"/>
    <x v="1"/>
    <x v="0"/>
    <x v="4"/>
    <x v="3"/>
    <n v="2"/>
    <n v="1499"/>
    <n v="0.05"/>
    <n v="2848"/>
    <n v="684"/>
    <n v="3"/>
  </r>
  <r>
    <s v="ORD-0094"/>
    <x v="93"/>
    <s v="Pune"/>
    <x v="2"/>
    <x v="1"/>
    <x v="5"/>
    <x v="0"/>
    <n v="4"/>
    <n v="1599"/>
    <n v="0.1"/>
    <n v="5756"/>
    <n v="1554"/>
    <n v="4"/>
  </r>
  <r>
    <s v="ORD-0095"/>
    <x v="94"/>
    <s v="Kolkata"/>
    <x v="3"/>
    <x v="0"/>
    <x v="6"/>
    <x v="2"/>
    <n v="1"/>
    <n v="1199"/>
    <n v="0.15"/>
    <n v="1019"/>
    <n v="265"/>
    <n v="5"/>
  </r>
  <r>
    <s v="ORD-0096"/>
    <x v="95"/>
    <s v="Hyderabad"/>
    <x v="1"/>
    <x v="1"/>
    <x v="7"/>
    <x v="3"/>
    <n v="3"/>
    <n v="899"/>
    <n v="0"/>
    <n v="2697"/>
    <n v="593"/>
    <n v="3"/>
  </r>
  <r>
    <s v="ORD-0097"/>
    <x v="96"/>
    <s v="Delhi"/>
    <x v="0"/>
    <x v="0"/>
    <x v="0"/>
    <x v="0"/>
    <n v="5"/>
    <n v="599"/>
    <n v="0.05"/>
    <n v="2845"/>
    <n v="854"/>
    <n v="4"/>
  </r>
  <r>
    <s v="ORD-0098"/>
    <x v="97"/>
    <s v="Bengaluru"/>
    <x v="1"/>
    <x v="1"/>
    <x v="1"/>
    <x v="1"/>
    <n v="2"/>
    <n v="349"/>
    <n v="0.1"/>
    <n v="628"/>
    <n v="201"/>
    <n v="5"/>
  </r>
  <r>
    <s v="ORD-0099"/>
    <x v="98"/>
    <s v="Mumbai"/>
    <x v="2"/>
    <x v="0"/>
    <x v="2"/>
    <x v="2"/>
    <n v="4"/>
    <n v="1299"/>
    <n v="0.15"/>
    <n v="4417"/>
    <n v="1057"/>
    <n v="3"/>
  </r>
  <r>
    <s v="ORD-0100"/>
    <x v="99"/>
    <s v="Jaipur"/>
    <x v="0"/>
    <x v="1"/>
    <x v="3"/>
    <x v="3"/>
    <n v="1"/>
    <n v="1899"/>
    <n v="0"/>
    <n v="1899"/>
    <n v="380"/>
    <n v="4"/>
  </r>
  <r>
    <s v="ORD-0101"/>
    <x v="100"/>
    <s v="Chennai"/>
    <x v="1"/>
    <x v="0"/>
    <x v="4"/>
    <x v="3"/>
    <n v="3"/>
    <n v="1499"/>
    <n v="0.05"/>
    <n v="4272"/>
    <n v="1025"/>
    <n v="5"/>
  </r>
  <r>
    <s v="ORD-0102"/>
    <x v="101"/>
    <s v="Pune"/>
    <x v="2"/>
    <x v="1"/>
    <x v="5"/>
    <x v="0"/>
    <n v="5"/>
    <n v="1599"/>
    <n v="0.1"/>
    <n v="7196"/>
    <n v="1943"/>
    <n v="3"/>
  </r>
  <r>
    <s v="ORD-0103"/>
    <x v="102"/>
    <s v="Kolkata"/>
    <x v="3"/>
    <x v="0"/>
    <x v="6"/>
    <x v="2"/>
    <n v="2"/>
    <n v="1199"/>
    <n v="0.15"/>
    <n v="2038"/>
    <n v="530"/>
    <n v="4"/>
  </r>
  <r>
    <s v="ORD-0104"/>
    <x v="103"/>
    <s v="Hyderabad"/>
    <x v="1"/>
    <x v="1"/>
    <x v="7"/>
    <x v="3"/>
    <n v="4"/>
    <n v="899"/>
    <n v="0"/>
    <n v="3596"/>
    <n v="791"/>
    <n v="5"/>
  </r>
  <r>
    <s v="ORD-0105"/>
    <x v="104"/>
    <s v="Delhi"/>
    <x v="0"/>
    <x v="0"/>
    <x v="0"/>
    <x v="0"/>
    <n v="1"/>
    <n v="599"/>
    <n v="0.05"/>
    <n v="569"/>
    <n v="171"/>
    <n v="3"/>
  </r>
  <r>
    <s v="ORD-0106"/>
    <x v="105"/>
    <s v="Bengaluru"/>
    <x v="1"/>
    <x v="1"/>
    <x v="1"/>
    <x v="1"/>
    <n v="3"/>
    <n v="349"/>
    <n v="0.1"/>
    <n v="942"/>
    <n v="301"/>
    <n v="4"/>
  </r>
  <r>
    <s v="ORD-0107"/>
    <x v="106"/>
    <s v="Mumbai"/>
    <x v="2"/>
    <x v="0"/>
    <x v="2"/>
    <x v="2"/>
    <n v="5"/>
    <n v="1299"/>
    <n v="0.15"/>
    <n v="5521"/>
    <n v="1546"/>
    <n v="5"/>
  </r>
  <r>
    <s v="ORD-0108"/>
    <x v="107"/>
    <s v="Jaipur"/>
    <x v="0"/>
    <x v="1"/>
    <x v="3"/>
    <x v="3"/>
    <n v="2"/>
    <n v="1899"/>
    <n v="0"/>
    <n v="3798"/>
    <n v="580"/>
    <n v="3"/>
  </r>
  <r>
    <s v="ORD-0109"/>
    <x v="0"/>
    <s v="Chennai"/>
    <x v="1"/>
    <x v="0"/>
    <x v="4"/>
    <x v="3"/>
    <n v="4"/>
    <n v="1499"/>
    <n v="0.05"/>
    <n v="5696"/>
    <n v="1367"/>
    <n v="4"/>
  </r>
  <r>
    <s v="ORD-0110"/>
    <x v="1"/>
    <s v="Pune"/>
    <x v="2"/>
    <x v="1"/>
    <x v="5"/>
    <x v="0"/>
    <n v="1"/>
    <n v="1599"/>
    <n v="0.1"/>
    <n v="1439"/>
    <n v="389"/>
    <n v="5"/>
  </r>
  <r>
    <s v="ORD-0111"/>
    <x v="2"/>
    <s v="Kolkata"/>
    <x v="3"/>
    <x v="0"/>
    <x v="6"/>
    <x v="2"/>
    <n v="3"/>
    <n v="1199"/>
    <n v="0.15"/>
    <n v="3057"/>
    <n v="795"/>
    <n v="3"/>
  </r>
  <r>
    <s v="ORD-0112"/>
    <x v="3"/>
    <s v="Hyderabad"/>
    <x v="1"/>
    <x v="1"/>
    <x v="7"/>
    <x v="3"/>
    <n v="5"/>
    <n v="899"/>
    <n v="0"/>
    <n v="4495"/>
    <n v="989"/>
    <n v="4"/>
  </r>
  <r>
    <s v="ORD-0113"/>
    <x v="4"/>
    <s v="Delhi"/>
    <x v="0"/>
    <x v="0"/>
    <x v="0"/>
    <x v="0"/>
    <n v="2"/>
    <n v="599"/>
    <n v="0.05"/>
    <n v="1138"/>
    <n v="341"/>
    <n v="5"/>
  </r>
  <r>
    <s v="ORD-0114"/>
    <x v="5"/>
    <s v="Bengaluru"/>
    <x v="1"/>
    <x v="1"/>
    <x v="1"/>
    <x v="1"/>
    <n v="4"/>
    <n v="349"/>
    <n v="0.1"/>
    <n v="1256"/>
    <n v="402"/>
    <n v="3"/>
  </r>
  <r>
    <s v="ORD-0115"/>
    <x v="6"/>
    <s v="Mumbai"/>
    <x v="2"/>
    <x v="0"/>
    <x v="2"/>
    <x v="2"/>
    <n v="1"/>
    <n v="1299"/>
    <n v="0.15"/>
    <n v="1104"/>
    <n v="309"/>
    <n v="4"/>
  </r>
  <r>
    <s v="ORD-0116"/>
    <x v="7"/>
    <s v="Jaipur"/>
    <x v="0"/>
    <x v="1"/>
    <x v="3"/>
    <x v="3"/>
    <n v="3"/>
    <n v="1899"/>
    <n v="0"/>
    <n v="5697"/>
    <n v="1139"/>
    <n v="5"/>
  </r>
  <r>
    <s v="ORD-0117"/>
    <x v="8"/>
    <s v="Chennai"/>
    <x v="1"/>
    <x v="0"/>
    <x v="4"/>
    <x v="3"/>
    <n v="5"/>
    <n v="1499"/>
    <n v="0.05"/>
    <n v="7120"/>
    <n v="1529"/>
    <n v="3"/>
  </r>
  <r>
    <s v="ORD-0118"/>
    <x v="9"/>
    <s v="Pune"/>
    <x v="2"/>
    <x v="1"/>
    <x v="5"/>
    <x v="0"/>
    <n v="2"/>
    <n v="1599"/>
    <n v="0.1"/>
    <n v="2878"/>
    <n v="777"/>
    <n v="4"/>
  </r>
  <r>
    <s v="ORD-0119"/>
    <x v="10"/>
    <s v="Kolkata"/>
    <x v="3"/>
    <x v="0"/>
    <x v="6"/>
    <x v="2"/>
    <n v="4"/>
    <n v="1199"/>
    <n v="0.15"/>
    <n v="4077"/>
    <n v="1060"/>
    <n v="5"/>
  </r>
  <r>
    <s v="ORD-0120"/>
    <x v="11"/>
    <s v="Hyderabad"/>
    <x v="1"/>
    <x v="1"/>
    <x v="7"/>
    <x v="3"/>
    <n v="1"/>
    <n v="899"/>
    <n v="0"/>
    <n v="899"/>
    <n v="198"/>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96D0C-D5E5-4C09-AAE6-600D4E67056B}"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D8" firstHeaderRow="0" firstDataRow="1" firstDataCol="1"/>
  <pivotFields count="17">
    <pivotField showAll="0"/>
    <pivotField numFmtId="164" showAll="0">
      <items count="109">
        <item x="107"/>
        <item x="95"/>
        <item x="83"/>
        <item x="71"/>
        <item x="59"/>
        <item x="47"/>
        <item x="35"/>
        <item x="23"/>
        <item x="11"/>
        <item x="90"/>
        <item x="78"/>
        <item x="66"/>
        <item x="54"/>
        <item x="42"/>
        <item x="30"/>
        <item x="18"/>
        <item x="6"/>
        <item x="102"/>
        <item x="85"/>
        <item x="73"/>
        <item x="61"/>
        <item x="49"/>
        <item x="37"/>
        <item x="25"/>
        <item x="13"/>
        <item x="1"/>
        <item x="97"/>
        <item x="80"/>
        <item x="68"/>
        <item x="56"/>
        <item x="44"/>
        <item x="32"/>
        <item x="20"/>
        <item x="8"/>
        <item x="104"/>
        <item x="92"/>
        <item x="63"/>
        <item x="51"/>
        <item x="39"/>
        <item x="27"/>
        <item x="15"/>
        <item x="3"/>
        <item x="99"/>
        <item x="87"/>
        <item x="75"/>
        <item x="58"/>
        <item x="46"/>
        <item x="34"/>
        <item x="22"/>
        <item x="10"/>
        <item x="106"/>
        <item x="94"/>
        <item x="82"/>
        <item x="70"/>
        <item x="53"/>
        <item x="41"/>
        <item x="29"/>
        <item x="17"/>
        <item x="5"/>
        <item x="101"/>
        <item x="89"/>
        <item x="77"/>
        <item x="65"/>
        <item x="36"/>
        <item x="24"/>
        <item x="12"/>
        <item x="0"/>
        <item x="96"/>
        <item x="84"/>
        <item x="72"/>
        <item x="60"/>
        <item x="48"/>
        <item x="31"/>
        <item x="19"/>
        <item x="7"/>
        <item x="103"/>
        <item x="91"/>
        <item x="79"/>
        <item x="67"/>
        <item x="55"/>
        <item x="43"/>
        <item x="26"/>
        <item x="14"/>
        <item x="2"/>
        <item x="98"/>
        <item x="86"/>
        <item x="74"/>
        <item x="62"/>
        <item x="50"/>
        <item x="38"/>
        <item x="9"/>
        <item x="105"/>
        <item x="93"/>
        <item x="81"/>
        <item x="69"/>
        <item x="57"/>
        <item x="45"/>
        <item x="33"/>
        <item x="21"/>
        <item x="4"/>
        <item x="100"/>
        <item x="88"/>
        <item x="76"/>
        <item x="64"/>
        <item x="52"/>
        <item x="40"/>
        <item x="28"/>
        <item x="16"/>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2"/>
            </reference>
          </references>
        </pivotArea>
      </autoSortScope>
    </pivotField>
    <pivotField showAll="0">
      <items count="3">
        <item x="1"/>
        <item x="0"/>
        <item t="default"/>
      </items>
    </pivotField>
    <pivotField showAll="0"/>
    <pivotField showAll="0"/>
    <pivotField numFmtId="1" showAll="0"/>
    <pivotField numFmtId="165" showAll="0"/>
    <pivotField numFmtId="9" showAll="0"/>
    <pivotField dataField="1" numFmtId="165" showAll="0"/>
    <pivotField dataField="1" numFmtId="165"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5">
    <i>
      <x v="3"/>
    </i>
    <i>
      <x/>
    </i>
    <i>
      <x v="2"/>
    </i>
    <i>
      <x v="1"/>
    </i>
    <i t="grand">
      <x/>
    </i>
  </rowItems>
  <colFields count="1">
    <field x="-2"/>
  </colFields>
  <colItems count="3">
    <i>
      <x/>
    </i>
    <i i="1">
      <x v="1"/>
    </i>
    <i i="2">
      <x v="2"/>
    </i>
  </colItems>
  <dataFields count="3">
    <dataField name=" Total Revenue" fld="10" baseField="3" baseItem="3" numFmtId="165"/>
    <dataField name="Total Profit" fld="11" baseField="3" baseItem="0" numFmtId="165"/>
    <dataField name=" Profit Margin " fld="13" baseField="3" baseItem="3" numFmtId="17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41ED2-B5BF-4CF8-94BA-D1310111067D}"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3:E12" firstHeaderRow="0" firstDataRow="1" firstDataCol="1"/>
  <pivotFields count="17">
    <pivotField showAll="0"/>
    <pivotField numFmtId="164" showAll="0">
      <items count="109">
        <item x="107"/>
        <item x="95"/>
        <item x="83"/>
        <item x="71"/>
        <item x="59"/>
        <item x="47"/>
        <item x="35"/>
        <item x="23"/>
        <item x="11"/>
        <item x="90"/>
        <item x="78"/>
        <item x="66"/>
        <item x="54"/>
        <item x="42"/>
        <item x="30"/>
        <item x="18"/>
        <item x="6"/>
        <item x="102"/>
        <item x="85"/>
        <item x="73"/>
        <item x="61"/>
        <item x="49"/>
        <item x="37"/>
        <item x="25"/>
        <item x="13"/>
        <item x="1"/>
        <item x="97"/>
        <item x="80"/>
        <item x="68"/>
        <item x="56"/>
        <item x="44"/>
        <item x="32"/>
        <item x="20"/>
        <item x="8"/>
        <item x="104"/>
        <item x="92"/>
        <item x="63"/>
        <item x="51"/>
        <item x="39"/>
        <item x="27"/>
        <item x="15"/>
        <item x="3"/>
        <item x="99"/>
        <item x="87"/>
        <item x="75"/>
        <item x="58"/>
        <item x="46"/>
        <item x="34"/>
        <item x="22"/>
        <item x="10"/>
        <item x="106"/>
        <item x="94"/>
        <item x="82"/>
        <item x="70"/>
        <item x="53"/>
        <item x="41"/>
        <item x="29"/>
        <item x="17"/>
        <item x="5"/>
        <item x="101"/>
        <item x="89"/>
        <item x="77"/>
        <item x="65"/>
        <item x="36"/>
        <item x="24"/>
        <item x="12"/>
        <item x="0"/>
        <item x="96"/>
        <item x="84"/>
        <item x="72"/>
        <item x="60"/>
        <item x="48"/>
        <item x="31"/>
        <item x="19"/>
        <item x="7"/>
        <item x="103"/>
        <item x="91"/>
        <item x="79"/>
        <item x="67"/>
        <item x="55"/>
        <item x="43"/>
        <item x="26"/>
        <item x="14"/>
        <item x="2"/>
        <item x="98"/>
        <item x="86"/>
        <item x="74"/>
        <item x="62"/>
        <item x="50"/>
        <item x="38"/>
        <item x="9"/>
        <item x="105"/>
        <item x="93"/>
        <item x="81"/>
        <item x="69"/>
        <item x="57"/>
        <item x="45"/>
        <item x="33"/>
        <item x="21"/>
        <item x="4"/>
        <item x="100"/>
        <item x="88"/>
        <item x="76"/>
        <item x="64"/>
        <item x="52"/>
        <item x="40"/>
        <item x="28"/>
        <item x="16"/>
        <item t="default"/>
      </items>
    </pivotField>
    <pivotField showAll="0"/>
    <pivotField showAll="0">
      <items count="5">
        <item x="3"/>
        <item x="0"/>
        <item x="1"/>
        <item x="2"/>
        <item t="default"/>
      </items>
    </pivotField>
    <pivotField showAll="0">
      <items count="3">
        <item x="1"/>
        <item x="0"/>
        <item t="default"/>
      </items>
    </pivotField>
    <pivotField axis="axisRow" showAll="0" sortType="descending">
      <items count="9">
        <item x="5"/>
        <item x="6"/>
        <item x="4"/>
        <item x="2"/>
        <item x="1"/>
        <item x="3"/>
        <item x="0"/>
        <item x="7"/>
        <item t="default"/>
      </items>
      <autoSortScope>
        <pivotArea dataOnly="0" outline="0" fieldPosition="0">
          <references count="1">
            <reference field="4294967294" count="1" selected="0">
              <x v="3"/>
            </reference>
          </references>
        </pivotArea>
      </autoSortScope>
    </pivotField>
    <pivotField showAll="0">
      <items count="6">
        <item x="3"/>
        <item x="0"/>
        <item x="2"/>
        <item x="1"/>
        <item m="1" x="4"/>
        <item t="default"/>
      </items>
    </pivotField>
    <pivotField dataField="1" numFmtId="1" showAll="0"/>
    <pivotField numFmtId="165" showAll="0"/>
    <pivotField numFmtId="9" showAll="0"/>
    <pivotField dataField="1" numFmtId="165" showAll="0"/>
    <pivotField dataField="1" numFmtId="165" showAll="0"/>
    <pivotField showAl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9">
    <i>
      <x v="4"/>
    </i>
    <i>
      <x v="6"/>
    </i>
    <i>
      <x v="3"/>
    </i>
    <i>
      <x/>
    </i>
    <i>
      <x v="1"/>
    </i>
    <i>
      <x v="2"/>
    </i>
    <i>
      <x v="7"/>
    </i>
    <i>
      <x v="5"/>
    </i>
    <i t="grand">
      <x/>
    </i>
  </rowItems>
  <colFields count="1">
    <field x="-2"/>
  </colFields>
  <colItems count="4">
    <i>
      <x/>
    </i>
    <i i="1">
      <x v="1"/>
    </i>
    <i i="2">
      <x v="2"/>
    </i>
    <i i="3">
      <x v="3"/>
    </i>
  </colItems>
  <dataFields count="4">
    <dataField name="Total Revenue" fld="10" baseField="5" baseItem="0" numFmtId="165"/>
    <dataField name="Total Profit" fld="11" baseField="5" baseItem="0" numFmtId="165"/>
    <dataField name="Unit Sold" fld="7" baseField="5" baseItem="0" numFmtId="1"/>
    <dataField name="Product Margin %" fld="14" baseField="5" baseItem="0" numFmtId="17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series="1">
      <pivotArea type="data" outline="0" fieldPosition="0">
        <references count="1">
          <reference field="4294967294" count="1" selected="0">
            <x v="2"/>
          </reference>
        </references>
      </pivotArea>
    </chartFormat>
    <chartFormat chart="3"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20F8D0-3A56-4AF3-BB21-CD2D1A890C33}"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te">
  <location ref="A3:D17" firstHeaderRow="0" firstDataRow="1" firstDataCol="1"/>
  <pivotFields count="17">
    <pivotField dataField="1" showAll="0"/>
    <pivotField numFmtId="164" showAll="0">
      <items count="109">
        <item x="107"/>
        <item x="95"/>
        <item x="83"/>
        <item x="71"/>
        <item x="59"/>
        <item x="47"/>
        <item x="35"/>
        <item x="23"/>
        <item x="11"/>
        <item x="90"/>
        <item x="78"/>
        <item x="66"/>
        <item x="54"/>
        <item x="42"/>
        <item x="30"/>
        <item x="18"/>
        <item x="6"/>
        <item x="102"/>
        <item x="85"/>
        <item x="73"/>
        <item x="61"/>
        <item x="49"/>
        <item x="37"/>
        <item x="25"/>
        <item x="13"/>
        <item x="1"/>
        <item x="97"/>
        <item x="80"/>
        <item x="68"/>
        <item x="56"/>
        <item x="44"/>
        <item x="32"/>
        <item x="20"/>
        <item x="8"/>
        <item x="104"/>
        <item x="92"/>
        <item x="63"/>
        <item x="51"/>
        <item x="39"/>
        <item x="27"/>
        <item x="15"/>
        <item x="3"/>
        <item x="99"/>
        <item x="87"/>
        <item x="75"/>
        <item x="58"/>
        <item x="46"/>
        <item x="34"/>
        <item x="22"/>
        <item x="10"/>
        <item x="106"/>
        <item x="94"/>
        <item x="82"/>
        <item x="70"/>
        <item x="53"/>
        <item x="41"/>
        <item x="29"/>
        <item x="17"/>
        <item x="5"/>
        <item x="101"/>
        <item x="89"/>
        <item x="77"/>
        <item x="65"/>
        <item x="36"/>
        <item x="24"/>
        <item x="12"/>
        <item x="0"/>
        <item x="96"/>
        <item x="84"/>
        <item x="72"/>
        <item x="60"/>
        <item x="48"/>
        <item x="31"/>
        <item x="19"/>
        <item x="7"/>
        <item x="103"/>
        <item x="91"/>
        <item x="79"/>
        <item x="67"/>
        <item x="55"/>
        <item x="43"/>
        <item x="26"/>
        <item x="14"/>
        <item x="2"/>
        <item x="98"/>
        <item x="86"/>
        <item x="74"/>
        <item x="62"/>
        <item x="50"/>
        <item x="38"/>
        <item x="9"/>
        <item x="105"/>
        <item x="93"/>
        <item x="81"/>
        <item x="69"/>
        <item x="57"/>
        <item x="45"/>
        <item x="33"/>
        <item x="21"/>
        <item x="4"/>
        <item x="100"/>
        <item x="88"/>
        <item x="76"/>
        <item x="64"/>
        <item x="52"/>
        <item x="40"/>
        <item x="28"/>
        <item x="16"/>
        <item t="default"/>
      </items>
    </pivotField>
    <pivotField showAll="0"/>
    <pivotField showAll="0">
      <items count="5">
        <item x="3"/>
        <item x="0"/>
        <item x="1"/>
        <item x="2"/>
        <item t="default"/>
      </items>
    </pivotField>
    <pivotField showAll="0">
      <items count="3">
        <item x="1"/>
        <item x="0"/>
        <item t="default"/>
      </items>
    </pivotField>
    <pivotField showAll="0"/>
    <pivotField showAll="0"/>
    <pivotField numFmtId="1" showAll="0"/>
    <pivotField numFmtId="165" showAll="0"/>
    <pivotField numFmtId="9" showAll="0"/>
    <pivotField dataField="1" numFmtId="165" showAll="0"/>
    <pivotField dataField="1" numFmtId="165" showAll="0"/>
    <pivotField showAll="0"/>
    <pivotField dragToRow="0" dragToCol="0" dragToPage="0" showAll="0" defaultSubtotal="0"/>
    <pivotField dragToRow="0" dragToCol="0" dragToPage="0" showAll="0" defaultSubtotal="0"/>
    <pivotField axis="axisRow" showAll="0" sortType="ascending">
      <items count="15">
        <item x="1"/>
        <item x="2"/>
        <item x="3"/>
        <item x="4"/>
        <item x="5"/>
        <item x="6"/>
        <item x="7"/>
        <item x="8"/>
        <item x="9"/>
        <item x="10"/>
        <item x="11"/>
        <item x="12"/>
        <item x="0"/>
        <item x="13"/>
        <item t="default"/>
      </items>
    </pivotField>
    <pivotField axis="axisRow" showAll="0">
      <items count="4">
        <item x="0"/>
        <item x="1"/>
        <item x="2"/>
        <item t="default"/>
      </items>
    </pivotField>
  </pivotFields>
  <rowFields count="2">
    <field x="16"/>
    <field x="15"/>
  </rowFields>
  <rowItems count="14">
    <i>
      <x v="1"/>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Total Revenue" fld="10" baseField="16" baseItem="1" numFmtId="165"/>
    <dataField name="Total Profit" fld="11" baseField="16" baseItem="1" numFmtId="165"/>
    <dataField name="Orders" fld="0" subtotal="count" baseField="16" baseItem="1"/>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4DAA47F-BC36-48F5-9C18-1D8441BBB83D}" sourceName="Channel">
  <pivotTables>
    <pivotTable tabId="11" name="PivotTable4"/>
    <pivotTable tabId="5" name="PivotTable1"/>
    <pivotTable tabId="7" name="PivotTable3"/>
  </pivotTables>
  <data>
    <tabular pivotCacheId="194044874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8C3EFA-1AD8-41F2-988A-2D6107FCC36B}" sourceName="Region">
  <pivotTables>
    <pivotTable tabId="11" name="PivotTable4"/>
    <pivotTable tabId="5" name="PivotTable1"/>
    <pivotTable tabId="7" name="PivotTable3"/>
  </pivotTables>
  <data>
    <tabular pivotCacheId="194044874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6C77C9-F79E-4E98-8AA5-CC9B6651C2E1}" sourceName="Category">
  <pivotTables>
    <pivotTable tabId="7" name="PivotTable3"/>
  </pivotTables>
  <data>
    <tabular pivotCacheId="1940448745">
      <items count="5">
        <i x="3" s="1"/>
        <i x="0" s="1"/>
        <i x="2"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90BCCB48-080E-4A4E-A089-0FE784DBB86A}" cache="Slicer_Channel" caption="Channel" style="SlicerStyleDark1" rowHeight="234950"/>
  <slicer name="Region" xr10:uid="{774ADBA1-236F-4793-9911-66907D8AE5C7}" cache="Slicer_Region" caption="Region" style="SlicerStyleDark1" rowHeight="234950"/>
  <slicer name="Category" xr10:uid="{24A7EA1C-EF3D-4731-8AE8-92DF8BB5EFB4}" cache="Slicer_Category" caption="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049DD-045E-4EB1-936B-076FC3DEFF01}" name="Table1" displayName="Table1" ref="A1:M122" totalsRowCount="1" headerRowDxfId="29" dataDxfId="28" totalsRowDxfId="27">
  <autoFilter ref="A1:M121" xr:uid="{23A049DD-045E-4EB1-936B-076FC3DEFF01}">
    <filterColumn colId="2">
      <customFilters>
        <customFilter operator="notEqual" val=" "/>
      </customFilters>
    </filterColumn>
    <filterColumn colId="12">
      <customFilters>
        <customFilter operator="notEqual" val=" "/>
      </customFilters>
    </filterColumn>
  </autoFilter>
  <tableColumns count="13">
    <tableColumn id="1" xr3:uid="{CEE8BF94-120B-4333-ABF2-874D7CA5B566}" name="Order ID" totalsRowFunction="custom" dataDxfId="26" totalsRowDxfId="25">
      <totalsRowFormula>COUNTA(A2:A121)</totalsRowFormula>
    </tableColumn>
    <tableColumn id="2" xr3:uid="{68D03FAA-1F86-42DA-8E0B-780B7E7DF7DA}" name="Order Date" dataDxfId="24" totalsRowDxfId="4"/>
    <tableColumn id="3" xr3:uid="{EEF62FAD-EC3D-40DD-BBD6-140CF43229DD}" name="City" dataDxfId="23" totalsRowDxfId="22"/>
    <tableColumn id="4" xr3:uid="{3C64539C-66E8-4E0B-856E-959670F45155}" name="Region" dataDxfId="21" totalsRowDxfId="20"/>
    <tableColumn id="5" xr3:uid="{C9A10E8A-AD43-473C-BE93-38060698B7B7}" name="Channel" dataDxfId="19" totalsRowDxfId="18"/>
    <tableColumn id="6" xr3:uid="{52301168-81F7-4908-8F52-19FAC44BA2EE}" name="Product" dataDxfId="17" totalsRowDxfId="16"/>
    <tableColumn id="7" xr3:uid="{ECEE8756-076A-4E8D-B86C-34F6E37C1C95}" name="Category" dataDxfId="15" totalsRowDxfId="14"/>
    <tableColumn id="8" xr3:uid="{5CC038F3-7CB7-4C6C-A661-7AA0D3F3628B}" name="Quantity" dataDxfId="13" totalsRowDxfId="12"/>
    <tableColumn id="9" xr3:uid="{99EB69C0-CE13-4E38-812B-58FDA3B38642}" name="Unit Price" totalsRowFunction="custom" dataDxfId="11" totalsRowDxfId="3">
      <totalsRowFormula>SUM(Table1[Unit Price])</totalsRowFormula>
    </tableColumn>
    <tableColumn id="10" xr3:uid="{61533E71-5C06-4B88-BA73-8E2D91A53EFB}" name="Discount" dataDxfId="10" totalsRowDxfId="9"/>
    <tableColumn id="11" xr3:uid="{0A1C3C06-E27C-48AA-8AFF-BA1D47D2144E}" name="Revenue" totalsRowFunction="custom" dataDxfId="8" totalsRowDxfId="2">
      <totalsRowFormula>SUM(K2:K121)</totalsRowFormula>
    </tableColumn>
    <tableColumn id="12" xr3:uid="{C9B2A432-EE9E-495D-9A4E-AA19B05F70EC}" name="Profit" totalsRowFunction="custom" dataDxfId="7" totalsRowDxfId="1">
      <totalsRowFormula>SUM(L2:L121)</totalsRowFormula>
    </tableColumn>
    <tableColumn id="13" xr3:uid="{929305BB-A683-4B4D-B08B-11FD8158B67D}" name="Customer Rating" dataDxfId="6" totalsRowDxfId="5"/>
  </tableColumns>
  <tableStyleInfo name="TableStyleLight15"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F2EE-5E69-4BC4-B7C0-25BBC25A2B7A}">
  <dimension ref="B2:T8"/>
  <sheetViews>
    <sheetView showGridLines="0" tabSelected="1" zoomScale="82" zoomScaleNormal="82" workbookViewId="0">
      <selection activeCell="R7" sqref="R7:T7"/>
    </sheetView>
  </sheetViews>
  <sheetFormatPr defaultRowHeight="13.8"/>
  <sheetData>
    <row r="2" spans="2:20" ht="13.8" customHeight="1">
      <c r="B2" s="31" t="s">
        <v>222</v>
      </c>
      <c r="C2" s="31"/>
      <c r="D2" s="31"/>
      <c r="E2" s="31"/>
      <c r="F2" s="31"/>
      <c r="G2" s="31"/>
      <c r="H2" s="31"/>
      <c r="I2" s="31"/>
      <c r="J2" s="31"/>
      <c r="K2" s="31"/>
      <c r="L2" s="31"/>
      <c r="M2" s="31"/>
      <c r="N2" s="31"/>
      <c r="O2" s="31"/>
      <c r="P2" s="31"/>
      <c r="Q2" s="31"/>
      <c r="R2" s="31"/>
      <c r="S2" s="31"/>
      <c r="T2" s="31"/>
    </row>
    <row r="3" spans="2:20">
      <c r="B3" s="31"/>
      <c r="C3" s="31"/>
      <c r="D3" s="31"/>
      <c r="E3" s="31"/>
      <c r="F3" s="31"/>
      <c r="G3" s="31"/>
      <c r="H3" s="31"/>
      <c r="I3" s="31"/>
      <c r="J3" s="31"/>
      <c r="K3" s="31"/>
      <c r="L3" s="31"/>
      <c r="M3" s="31"/>
      <c r="N3" s="31"/>
      <c r="O3" s="31"/>
      <c r="P3" s="31"/>
      <c r="Q3" s="31"/>
      <c r="R3" s="31"/>
      <c r="S3" s="31"/>
      <c r="T3" s="31"/>
    </row>
    <row r="4" spans="2:20" ht="15.6">
      <c r="B4" s="32" t="s">
        <v>223</v>
      </c>
      <c r="C4" s="17"/>
      <c r="D4" s="17"/>
      <c r="E4" s="17"/>
      <c r="F4" s="17"/>
      <c r="G4" s="17"/>
      <c r="H4" s="17"/>
      <c r="I4" s="17"/>
      <c r="J4" s="17"/>
      <c r="K4" s="17"/>
      <c r="L4" s="17"/>
      <c r="M4" s="17"/>
      <c r="N4" s="17"/>
      <c r="O4" s="17"/>
      <c r="P4" s="17"/>
      <c r="Q4" s="17"/>
      <c r="R4" s="17"/>
      <c r="S4" s="17"/>
      <c r="T4" s="17"/>
    </row>
    <row r="6" spans="2:20" ht="20.399999999999999" customHeight="1">
      <c r="B6" s="36" t="s">
        <v>228</v>
      </c>
      <c r="C6" s="36"/>
      <c r="D6" s="36"/>
      <c r="F6" s="36" t="s">
        <v>229</v>
      </c>
      <c r="G6" s="36"/>
      <c r="H6" s="36"/>
      <c r="J6" s="36" t="s">
        <v>227</v>
      </c>
      <c r="K6" s="36"/>
      <c r="L6" s="36"/>
      <c r="N6" s="36" t="s">
        <v>226</v>
      </c>
      <c r="O6" s="36"/>
      <c r="P6" s="36"/>
      <c r="R6" s="36" t="s">
        <v>164</v>
      </c>
      <c r="S6" s="36"/>
      <c r="T6" s="36"/>
    </row>
    <row r="7" spans="2:20" ht="25.8" customHeight="1">
      <c r="B7" s="37">
        <f xml:space="preserve"> GETPIVOTDATA(" Total Revenue",'Regional Analysis'!$A$3)</f>
        <v>390033</v>
      </c>
      <c r="C7" s="37"/>
      <c r="D7" s="37"/>
      <c r="F7" s="37">
        <f xml:space="preserve"> GETPIVOTDATA("Total Profit",'Regional Analysis'!$A$3)</f>
        <v>94560</v>
      </c>
      <c r="G7" s="37"/>
      <c r="H7" s="37"/>
      <c r="J7" s="35">
        <f xml:space="preserve"> GETPIVOTDATA("Orders",'Monthly Analysis'!$A$3)</f>
        <v>120</v>
      </c>
      <c r="K7" s="35"/>
      <c r="L7" s="35"/>
      <c r="N7" s="38">
        <f>B7/J7</f>
        <v>3250.2750000000001</v>
      </c>
      <c r="O7" s="38"/>
      <c r="P7" s="38"/>
      <c r="R7" s="46">
        <f xml:space="preserve"> GETPIVOTDATA(" Profit Margin ",'Regional Analysis'!$A$3)</f>
        <v>0.24244102422102745</v>
      </c>
      <c r="S7" s="46"/>
      <c r="T7" s="46"/>
    </row>
    <row r="8" spans="2:20">
      <c r="B8" s="34"/>
      <c r="C8" s="34"/>
      <c r="D8" s="34"/>
    </row>
  </sheetData>
  <mergeCells count="13">
    <mergeCell ref="N6:P6"/>
    <mergeCell ref="N7:P7"/>
    <mergeCell ref="R6:T6"/>
    <mergeCell ref="R7:T7"/>
    <mergeCell ref="B2:T3"/>
    <mergeCell ref="B4:T4"/>
    <mergeCell ref="B6:D6"/>
    <mergeCell ref="B7:D7"/>
    <mergeCell ref="B8:D8"/>
    <mergeCell ref="F6:H6"/>
    <mergeCell ref="F7:H7"/>
    <mergeCell ref="J6:L6"/>
    <mergeCell ref="J7: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2"/>
  <sheetViews>
    <sheetView showGridLines="0" zoomScale="78" zoomScaleNormal="78" workbookViewId="0">
      <selection activeCell="G125" sqref="G125"/>
    </sheetView>
  </sheetViews>
  <sheetFormatPr defaultRowHeight="13.8"/>
  <cols>
    <col min="1" max="1" width="14.19921875" bestFit="1" customWidth="1"/>
    <col min="2" max="2" width="17.5" bestFit="1" customWidth="1"/>
    <col min="3" max="3" width="15.3984375" bestFit="1" customWidth="1"/>
    <col min="4" max="4" width="8.8984375" bestFit="1" customWidth="1"/>
    <col min="5" max="5" width="9.69921875" bestFit="1" customWidth="1"/>
    <col min="6" max="6" width="22" bestFit="1" customWidth="1"/>
    <col min="7" max="7" width="21.3984375" bestFit="1" customWidth="1"/>
    <col min="8" max="8" width="6.796875" customWidth="1"/>
    <col min="9" max="9" width="11.8984375" customWidth="1"/>
    <col min="10" max="10" width="6.5" bestFit="1" customWidth="1"/>
    <col min="11" max="11" width="11.3984375" customWidth="1"/>
    <col min="12" max="12" width="9.59765625" bestFit="1" customWidth="1"/>
    <col min="13" max="13" width="5" bestFit="1" customWidth="1"/>
    <col min="14" max="14" width="13.69921875" customWidth="1"/>
    <col min="15" max="15" width="24.69921875" customWidth="1"/>
    <col min="16" max="16" width="18.59765625" customWidth="1"/>
    <col min="17" max="17" width="13" bestFit="1" customWidth="1"/>
  </cols>
  <sheetData>
    <row r="1" spans="1:13" ht="55.2">
      <c r="A1" s="1" t="s">
        <v>2</v>
      </c>
      <c r="B1" s="1" t="s">
        <v>3</v>
      </c>
      <c r="C1" s="1" t="s">
        <v>4</v>
      </c>
      <c r="D1" s="1" t="s">
        <v>5</v>
      </c>
      <c r="E1" s="1" t="s">
        <v>6</v>
      </c>
      <c r="F1" s="1" t="s">
        <v>7</v>
      </c>
      <c r="G1" s="1" t="s">
        <v>8</v>
      </c>
      <c r="H1" s="1" t="s">
        <v>9</v>
      </c>
      <c r="I1" s="1" t="s">
        <v>10</v>
      </c>
      <c r="J1" s="1" t="s">
        <v>11</v>
      </c>
      <c r="K1" s="1" t="s">
        <v>0</v>
      </c>
      <c r="L1" s="1" t="s">
        <v>1</v>
      </c>
      <c r="M1" s="1" t="s">
        <v>12</v>
      </c>
    </row>
    <row r="2" spans="1:13" ht="21">
      <c r="A2" s="2" t="s">
        <v>13</v>
      </c>
      <c r="B2" s="3">
        <v>45881</v>
      </c>
      <c r="C2" s="2" t="s">
        <v>14</v>
      </c>
      <c r="D2" s="2" t="s">
        <v>15</v>
      </c>
      <c r="E2" s="2" t="s">
        <v>16</v>
      </c>
      <c r="F2" s="2" t="s">
        <v>17</v>
      </c>
      <c r="G2" s="2" t="s">
        <v>18</v>
      </c>
      <c r="H2" s="4">
        <v>3</v>
      </c>
      <c r="I2" s="5">
        <v>599</v>
      </c>
      <c r="J2" s="6">
        <v>0.05</v>
      </c>
      <c r="K2" s="5">
        <v>1707</v>
      </c>
      <c r="L2" s="5">
        <v>512</v>
      </c>
      <c r="M2" s="7">
        <v>4</v>
      </c>
    </row>
    <row r="3" spans="1:13" ht="21">
      <c r="A3" s="2" t="s">
        <v>19</v>
      </c>
      <c r="B3" s="3">
        <v>45739</v>
      </c>
      <c r="C3" s="2" t="s">
        <v>20</v>
      </c>
      <c r="D3" s="2" t="s">
        <v>21</v>
      </c>
      <c r="E3" s="2" t="s">
        <v>22</v>
      </c>
      <c r="F3" s="2" t="s">
        <v>23</v>
      </c>
      <c r="G3" s="2" t="s">
        <v>24</v>
      </c>
      <c r="H3" s="4">
        <v>5</v>
      </c>
      <c r="I3" s="5">
        <v>349</v>
      </c>
      <c r="J3" s="6">
        <v>0.1</v>
      </c>
      <c r="K3" s="5">
        <v>1571</v>
      </c>
      <c r="L3" s="5">
        <v>503</v>
      </c>
      <c r="M3" s="7">
        <v>5</v>
      </c>
    </row>
    <row r="4" spans="1:13" ht="21">
      <c r="A4" s="2" t="s">
        <v>25</v>
      </c>
      <c r="B4" s="3">
        <v>45937</v>
      </c>
      <c r="C4" s="2" t="s">
        <v>26</v>
      </c>
      <c r="D4" s="2" t="s">
        <v>27</v>
      </c>
      <c r="E4" s="2" t="s">
        <v>16</v>
      </c>
      <c r="F4" s="2" t="s">
        <v>28</v>
      </c>
      <c r="G4" s="2" t="s">
        <v>29</v>
      </c>
      <c r="H4" s="4">
        <v>2</v>
      </c>
      <c r="I4" s="5">
        <v>1299</v>
      </c>
      <c r="J4" s="6">
        <v>0.15</v>
      </c>
      <c r="K4" s="5">
        <v>2208</v>
      </c>
      <c r="L4" s="5">
        <v>618</v>
      </c>
      <c r="M4" s="7">
        <v>3</v>
      </c>
    </row>
    <row r="5" spans="1:13" ht="21">
      <c r="A5" s="2" t="s">
        <v>30</v>
      </c>
      <c r="B5" s="3">
        <v>45795</v>
      </c>
      <c r="C5" s="2" t="s">
        <v>31</v>
      </c>
      <c r="D5" s="2" t="s">
        <v>15</v>
      </c>
      <c r="E5" s="2" t="s">
        <v>22</v>
      </c>
      <c r="F5" s="2" t="s">
        <v>32</v>
      </c>
      <c r="G5" s="2" t="s">
        <v>33</v>
      </c>
      <c r="H5" s="4">
        <v>4</v>
      </c>
      <c r="I5" s="5">
        <v>1899</v>
      </c>
      <c r="J5" s="6">
        <v>0</v>
      </c>
      <c r="K5" s="5">
        <v>7596</v>
      </c>
      <c r="L5" s="5">
        <v>1519</v>
      </c>
      <c r="M5" s="7">
        <v>4</v>
      </c>
    </row>
    <row r="6" spans="1:13" ht="21">
      <c r="A6" s="2" t="s">
        <v>34</v>
      </c>
      <c r="B6" s="3">
        <v>45993</v>
      </c>
      <c r="C6" s="2" t="s">
        <v>35</v>
      </c>
      <c r="D6" s="2" t="s">
        <v>21</v>
      </c>
      <c r="E6" s="2" t="s">
        <v>16</v>
      </c>
      <c r="F6" s="2" t="s">
        <v>36</v>
      </c>
      <c r="G6" s="2" t="s">
        <v>33</v>
      </c>
      <c r="H6" s="4">
        <v>1</v>
      </c>
      <c r="I6" s="5">
        <v>1499</v>
      </c>
      <c r="J6" s="6">
        <v>0.05</v>
      </c>
      <c r="K6" s="5">
        <v>1424</v>
      </c>
      <c r="L6" s="5">
        <v>342</v>
      </c>
      <c r="M6" s="7">
        <v>5</v>
      </c>
    </row>
    <row r="7" spans="1:13" ht="21">
      <c r="A7" s="2" t="s">
        <v>37</v>
      </c>
      <c r="B7" s="3">
        <v>45851</v>
      </c>
      <c r="C7" s="2" t="s">
        <v>38</v>
      </c>
      <c r="D7" s="2" t="s">
        <v>27</v>
      </c>
      <c r="E7" s="2" t="s">
        <v>22</v>
      </c>
      <c r="F7" s="2" t="s">
        <v>39</v>
      </c>
      <c r="G7" s="2" t="s">
        <v>18</v>
      </c>
      <c r="H7" s="4">
        <v>3</v>
      </c>
      <c r="I7" s="5">
        <v>1599</v>
      </c>
      <c r="J7" s="6">
        <v>0.1</v>
      </c>
      <c r="K7" s="5">
        <v>4317</v>
      </c>
      <c r="L7" s="5">
        <v>1166</v>
      </c>
      <c r="M7" s="7">
        <v>3</v>
      </c>
    </row>
    <row r="8" spans="1:13" ht="21">
      <c r="A8" s="2" t="s">
        <v>40</v>
      </c>
      <c r="B8" s="3">
        <v>45712</v>
      </c>
      <c r="C8" s="2" t="s">
        <v>41</v>
      </c>
      <c r="D8" s="2" t="s">
        <v>42</v>
      </c>
      <c r="E8" s="2" t="s">
        <v>16</v>
      </c>
      <c r="F8" s="2" t="s">
        <v>43</v>
      </c>
      <c r="G8" s="2" t="s">
        <v>29</v>
      </c>
      <c r="H8" s="4">
        <v>5</v>
      </c>
      <c r="I8" s="5">
        <v>1199</v>
      </c>
      <c r="J8" s="6">
        <v>0.15</v>
      </c>
      <c r="K8" s="5">
        <v>5096</v>
      </c>
      <c r="L8" s="5">
        <v>1325</v>
      </c>
      <c r="M8" s="7">
        <v>4</v>
      </c>
    </row>
    <row r="9" spans="1:13" ht="21">
      <c r="A9" s="2" t="s">
        <v>44</v>
      </c>
      <c r="B9" s="3">
        <v>45908</v>
      </c>
      <c r="C9" s="2" t="s">
        <v>45</v>
      </c>
      <c r="D9" s="2" t="s">
        <v>21</v>
      </c>
      <c r="E9" s="2" t="s">
        <v>22</v>
      </c>
      <c r="F9" s="2" t="s">
        <v>46</v>
      </c>
      <c r="G9" s="2" t="s">
        <v>33</v>
      </c>
      <c r="H9" s="4">
        <v>2</v>
      </c>
      <c r="I9" s="5">
        <v>899</v>
      </c>
      <c r="J9" s="6">
        <v>0</v>
      </c>
      <c r="K9" s="5">
        <v>1798</v>
      </c>
      <c r="L9" s="5">
        <v>396</v>
      </c>
      <c r="M9" s="7">
        <v>5</v>
      </c>
    </row>
    <row r="10" spans="1:13" ht="21">
      <c r="A10" s="2" t="s">
        <v>47</v>
      </c>
      <c r="B10" s="3">
        <v>45766</v>
      </c>
      <c r="C10" s="2" t="s">
        <v>14</v>
      </c>
      <c r="D10" s="2" t="s">
        <v>15</v>
      </c>
      <c r="E10" s="2" t="s">
        <v>16</v>
      </c>
      <c r="F10" s="2" t="s">
        <v>17</v>
      </c>
      <c r="G10" s="2" t="s">
        <v>18</v>
      </c>
      <c r="H10" s="4">
        <v>4</v>
      </c>
      <c r="I10" s="5">
        <v>599</v>
      </c>
      <c r="J10" s="6">
        <v>0.05</v>
      </c>
      <c r="K10" s="5">
        <v>2276</v>
      </c>
      <c r="L10" s="5">
        <v>503</v>
      </c>
      <c r="M10" s="7">
        <v>3</v>
      </c>
    </row>
    <row r="11" spans="1:13" ht="21">
      <c r="A11" s="2" t="s">
        <v>48</v>
      </c>
      <c r="B11" s="3">
        <v>45964</v>
      </c>
      <c r="C11" s="2" t="s">
        <v>20</v>
      </c>
      <c r="D11" s="2" t="s">
        <v>21</v>
      </c>
      <c r="E11" s="2" t="s">
        <v>22</v>
      </c>
      <c r="F11" s="2" t="s">
        <v>23</v>
      </c>
      <c r="G11" s="2" t="s">
        <v>24</v>
      </c>
      <c r="H11" s="4">
        <v>1</v>
      </c>
      <c r="I11" s="5">
        <v>349</v>
      </c>
      <c r="J11" s="6">
        <v>0.1</v>
      </c>
      <c r="K11" s="5">
        <v>314</v>
      </c>
      <c r="L11" s="5">
        <v>100</v>
      </c>
      <c r="M11" s="7">
        <v>4</v>
      </c>
    </row>
    <row r="12" spans="1:13" ht="21">
      <c r="A12" s="2" t="s">
        <v>49</v>
      </c>
      <c r="B12" s="3">
        <v>45822</v>
      </c>
      <c r="C12" s="2" t="s">
        <v>26</v>
      </c>
      <c r="D12" s="2" t="s">
        <v>27</v>
      </c>
      <c r="E12" s="2" t="s">
        <v>16</v>
      </c>
      <c r="F12" s="2" t="s">
        <v>28</v>
      </c>
      <c r="G12" s="2" t="s">
        <v>29</v>
      </c>
      <c r="H12" s="4">
        <v>3</v>
      </c>
      <c r="I12" s="5">
        <v>1299</v>
      </c>
      <c r="J12" s="6">
        <v>0.15</v>
      </c>
      <c r="K12" s="5">
        <v>3312</v>
      </c>
      <c r="L12" s="5">
        <v>927</v>
      </c>
      <c r="M12" s="7">
        <v>5</v>
      </c>
    </row>
    <row r="13" spans="1:13" ht="21">
      <c r="A13" s="2" t="s">
        <v>50</v>
      </c>
      <c r="B13" s="3">
        <v>45682</v>
      </c>
      <c r="C13" s="2" t="s">
        <v>31</v>
      </c>
      <c r="D13" s="2" t="s">
        <v>15</v>
      </c>
      <c r="E13" s="2" t="s">
        <v>22</v>
      </c>
      <c r="F13" s="2" t="s">
        <v>32</v>
      </c>
      <c r="G13" s="2" t="s">
        <v>33</v>
      </c>
      <c r="H13" s="4">
        <v>5</v>
      </c>
      <c r="I13" s="5">
        <v>1899</v>
      </c>
      <c r="J13" s="6">
        <v>0</v>
      </c>
      <c r="K13" s="5">
        <v>9495</v>
      </c>
      <c r="L13" s="5">
        <v>1899</v>
      </c>
      <c r="M13" s="7">
        <v>3</v>
      </c>
    </row>
    <row r="14" spans="1:13" ht="21">
      <c r="A14" s="2" t="s">
        <v>51</v>
      </c>
      <c r="B14" s="3">
        <v>45878</v>
      </c>
      <c r="C14" s="2" t="s">
        <v>35</v>
      </c>
      <c r="D14" s="2" t="s">
        <v>21</v>
      </c>
      <c r="E14" s="2" t="s">
        <v>16</v>
      </c>
      <c r="F14" s="2" t="s">
        <v>36</v>
      </c>
      <c r="G14" s="2" t="s">
        <v>33</v>
      </c>
      <c r="H14" s="4">
        <v>2</v>
      </c>
      <c r="I14" s="5">
        <v>1499</v>
      </c>
      <c r="J14" s="6">
        <v>0.05</v>
      </c>
      <c r="K14" s="5">
        <v>2848</v>
      </c>
      <c r="L14" s="5">
        <v>684</v>
      </c>
      <c r="M14" s="7">
        <v>4</v>
      </c>
    </row>
    <row r="15" spans="1:13" ht="21">
      <c r="A15" s="2" t="s">
        <v>52</v>
      </c>
      <c r="B15" s="3">
        <v>45736</v>
      </c>
      <c r="C15" s="2" t="s">
        <v>38</v>
      </c>
      <c r="D15" s="2" t="s">
        <v>27</v>
      </c>
      <c r="E15" s="2" t="s">
        <v>22</v>
      </c>
      <c r="F15" s="2" t="s">
        <v>39</v>
      </c>
      <c r="G15" s="2" t="s">
        <v>18</v>
      </c>
      <c r="H15" s="4">
        <v>4</v>
      </c>
      <c r="I15" s="5">
        <v>1599</v>
      </c>
      <c r="J15" s="6">
        <v>0.1</v>
      </c>
      <c r="K15" s="5">
        <v>5756</v>
      </c>
      <c r="L15" s="5">
        <v>1554</v>
      </c>
      <c r="M15" s="7">
        <v>5</v>
      </c>
    </row>
    <row r="16" spans="1:13" ht="21">
      <c r="A16" s="2" t="s">
        <v>53</v>
      </c>
      <c r="B16" s="3">
        <v>45934</v>
      </c>
      <c r="C16" s="2" t="s">
        <v>41</v>
      </c>
      <c r="D16" s="2" t="s">
        <v>42</v>
      </c>
      <c r="E16" s="2" t="s">
        <v>16</v>
      </c>
      <c r="F16" s="2" t="s">
        <v>43</v>
      </c>
      <c r="G16" s="2" t="s">
        <v>29</v>
      </c>
      <c r="H16" s="4">
        <v>1</v>
      </c>
      <c r="I16" s="5">
        <v>1199</v>
      </c>
      <c r="J16" s="6">
        <v>0.15</v>
      </c>
      <c r="K16" s="5">
        <v>1019</v>
      </c>
      <c r="L16" s="5">
        <v>265</v>
      </c>
      <c r="M16" s="7">
        <v>3</v>
      </c>
    </row>
    <row r="17" spans="1:13" ht="21">
      <c r="A17" s="2" t="s">
        <v>54</v>
      </c>
      <c r="B17" s="3">
        <v>45792</v>
      </c>
      <c r="C17" s="2" t="s">
        <v>45</v>
      </c>
      <c r="D17" s="2" t="s">
        <v>21</v>
      </c>
      <c r="E17" s="2" t="s">
        <v>22</v>
      </c>
      <c r="F17" s="2" t="s">
        <v>46</v>
      </c>
      <c r="G17" s="2" t="s">
        <v>33</v>
      </c>
      <c r="H17" s="4">
        <v>3</v>
      </c>
      <c r="I17" s="5">
        <v>899</v>
      </c>
      <c r="J17" s="6">
        <v>0</v>
      </c>
      <c r="K17" s="5">
        <v>2697</v>
      </c>
      <c r="L17" s="5">
        <v>593</v>
      </c>
      <c r="M17" s="7">
        <v>4</v>
      </c>
    </row>
    <row r="18" spans="1:13" ht="21" hidden="1">
      <c r="A18" s="2" t="s">
        <v>55</v>
      </c>
      <c r="B18" s="3">
        <v>46017</v>
      </c>
      <c r="C18" s="2" t="s">
        <v>14</v>
      </c>
      <c r="D18" s="2" t="s">
        <v>15</v>
      </c>
      <c r="E18" s="2" t="s">
        <v>16</v>
      </c>
      <c r="F18" s="2" t="s">
        <v>17</v>
      </c>
      <c r="G18" s="2" t="s">
        <v>18</v>
      </c>
      <c r="H18" s="4">
        <v>5</v>
      </c>
      <c r="I18" s="5">
        <v>599</v>
      </c>
      <c r="J18" s="6">
        <v>0.05</v>
      </c>
      <c r="K18" s="5">
        <v>2845</v>
      </c>
      <c r="L18" s="5">
        <v>854</v>
      </c>
      <c r="M18" s="7"/>
    </row>
    <row r="19" spans="1:13" ht="21">
      <c r="A19" s="2" t="s">
        <v>56</v>
      </c>
      <c r="B19" s="3">
        <v>45848</v>
      </c>
      <c r="C19" s="2" t="s">
        <v>20</v>
      </c>
      <c r="D19" s="2" t="s">
        <v>21</v>
      </c>
      <c r="E19" s="2" t="s">
        <v>22</v>
      </c>
      <c r="F19" s="2" t="s">
        <v>23</v>
      </c>
      <c r="G19" s="2" t="s">
        <v>24</v>
      </c>
      <c r="H19" s="4">
        <v>2</v>
      </c>
      <c r="I19" s="5">
        <v>349</v>
      </c>
      <c r="J19" s="6">
        <v>0.1</v>
      </c>
      <c r="K19" s="5">
        <v>628</v>
      </c>
      <c r="L19" s="5">
        <v>21</v>
      </c>
      <c r="M19" s="7">
        <v>3</v>
      </c>
    </row>
    <row r="20" spans="1:13" ht="21">
      <c r="A20" s="2" t="s">
        <v>57</v>
      </c>
      <c r="B20" s="3">
        <v>45709</v>
      </c>
      <c r="C20" s="2" t="s">
        <v>26</v>
      </c>
      <c r="D20" s="2" t="s">
        <v>27</v>
      </c>
      <c r="E20" s="2" t="s">
        <v>16</v>
      </c>
      <c r="F20" s="2" t="s">
        <v>28</v>
      </c>
      <c r="G20" s="2" t="s">
        <v>29</v>
      </c>
      <c r="H20" s="4">
        <v>4</v>
      </c>
      <c r="I20" s="5">
        <v>1299</v>
      </c>
      <c r="J20" s="6">
        <v>0.15</v>
      </c>
      <c r="K20" s="5">
        <v>4417</v>
      </c>
      <c r="L20" s="5">
        <v>1237</v>
      </c>
      <c r="M20" s="7">
        <v>4</v>
      </c>
    </row>
    <row r="21" spans="1:13" ht="21">
      <c r="A21" s="2" t="s">
        <v>58</v>
      </c>
      <c r="B21" s="3">
        <v>45905</v>
      </c>
      <c r="C21" s="2" t="s">
        <v>31</v>
      </c>
      <c r="D21" s="2" t="s">
        <v>15</v>
      </c>
      <c r="E21" s="2" t="s">
        <v>22</v>
      </c>
      <c r="F21" s="2" t="s">
        <v>32</v>
      </c>
      <c r="G21" s="2" t="s">
        <v>33</v>
      </c>
      <c r="H21" s="4">
        <v>1</v>
      </c>
      <c r="I21" s="5">
        <v>1899</v>
      </c>
      <c r="J21" s="6">
        <v>0</v>
      </c>
      <c r="K21" s="5">
        <v>1899</v>
      </c>
      <c r="L21" s="5">
        <v>380</v>
      </c>
      <c r="M21" s="7">
        <v>5</v>
      </c>
    </row>
    <row r="22" spans="1:13" ht="21">
      <c r="A22" s="2" t="s">
        <v>59</v>
      </c>
      <c r="B22" s="3">
        <v>45763</v>
      </c>
      <c r="C22" s="2" t="s">
        <v>35</v>
      </c>
      <c r="D22" s="2" t="s">
        <v>21</v>
      </c>
      <c r="E22" s="2" t="s">
        <v>16</v>
      </c>
      <c r="F22" s="2" t="s">
        <v>36</v>
      </c>
      <c r="G22" s="2" t="s">
        <v>33</v>
      </c>
      <c r="H22" s="4">
        <v>3</v>
      </c>
      <c r="I22" s="5">
        <v>1499</v>
      </c>
      <c r="J22" s="6">
        <v>0.05</v>
      </c>
      <c r="K22" s="5">
        <v>4272</v>
      </c>
      <c r="L22" s="5">
        <v>1025</v>
      </c>
      <c r="M22" s="7">
        <v>3</v>
      </c>
    </row>
    <row r="23" spans="1:13" ht="21">
      <c r="A23" s="2" t="s">
        <v>60</v>
      </c>
      <c r="B23" s="3">
        <v>45988</v>
      </c>
      <c r="C23" s="2" t="s">
        <v>38</v>
      </c>
      <c r="D23" s="2" t="s">
        <v>27</v>
      </c>
      <c r="E23" s="2" t="s">
        <v>22</v>
      </c>
      <c r="F23" s="2" t="s">
        <v>39</v>
      </c>
      <c r="G23" s="2" t="s">
        <v>18</v>
      </c>
      <c r="H23" s="4">
        <v>5</v>
      </c>
      <c r="I23" s="5">
        <v>1599</v>
      </c>
      <c r="J23" s="6">
        <v>0.1</v>
      </c>
      <c r="K23" s="5">
        <v>7196</v>
      </c>
      <c r="L23" s="5">
        <v>1943</v>
      </c>
      <c r="M23" s="7">
        <v>4</v>
      </c>
    </row>
    <row r="24" spans="1:13" ht="21">
      <c r="A24" s="2" t="s">
        <v>61</v>
      </c>
      <c r="B24" s="3">
        <v>45819</v>
      </c>
      <c r="C24" s="2" t="s">
        <v>41</v>
      </c>
      <c r="D24" s="2" t="s">
        <v>42</v>
      </c>
      <c r="E24" s="2" t="s">
        <v>16</v>
      </c>
      <c r="F24" s="2" t="s">
        <v>43</v>
      </c>
      <c r="G24" s="2" t="s">
        <v>29</v>
      </c>
      <c r="H24" s="4">
        <v>2</v>
      </c>
      <c r="I24" s="5">
        <v>1199</v>
      </c>
      <c r="J24" s="6">
        <v>0.15</v>
      </c>
      <c r="K24" s="5">
        <v>2038</v>
      </c>
      <c r="L24" s="5">
        <v>530</v>
      </c>
      <c r="M24" s="7">
        <v>5</v>
      </c>
    </row>
    <row r="25" spans="1:13" ht="21">
      <c r="A25" s="2" t="s">
        <v>62</v>
      </c>
      <c r="B25" s="3">
        <v>45679</v>
      </c>
      <c r="C25" s="2" t="s">
        <v>45</v>
      </c>
      <c r="D25" s="2" t="s">
        <v>21</v>
      </c>
      <c r="E25" s="2" t="s">
        <v>22</v>
      </c>
      <c r="F25" s="2" t="s">
        <v>46</v>
      </c>
      <c r="G25" s="2" t="s">
        <v>33</v>
      </c>
      <c r="H25" s="4">
        <v>4</v>
      </c>
      <c r="I25" s="5">
        <v>899</v>
      </c>
      <c r="J25" s="6">
        <v>0</v>
      </c>
      <c r="K25" s="5">
        <v>3596</v>
      </c>
      <c r="L25" s="5">
        <v>791</v>
      </c>
      <c r="M25" s="7">
        <v>3</v>
      </c>
    </row>
    <row r="26" spans="1:13" ht="21">
      <c r="A26" s="2" t="s">
        <v>63</v>
      </c>
      <c r="B26" s="3">
        <v>45875</v>
      </c>
      <c r="C26" s="2" t="s">
        <v>14</v>
      </c>
      <c r="D26" s="2" t="s">
        <v>15</v>
      </c>
      <c r="E26" s="2" t="s">
        <v>16</v>
      </c>
      <c r="F26" s="2" t="s">
        <v>17</v>
      </c>
      <c r="G26" s="2" t="s">
        <v>18</v>
      </c>
      <c r="H26" s="4">
        <v>1</v>
      </c>
      <c r="I26" s="5">
        <v>599</v>
      </c>
      <c r="J26" s="6">
        <v>0.05</v>
      </c>
      <c r="K26" s="5">
        <v>569</v>
      </c>
      <c r="L26" s="5">
        <v>171</v>
      </c>
      <c r="M26" s="7">
        <v>4</v>
      </c>
    </row>
    <row r="27" spans="1:13" ht="21">
      <c r="A27" s="2" t="s">
        <v>64</v>
      </c>
      <c r="B27" s="3">
        <v>45733</v>
      </c>
      <c r="C27" s="2" t="s">
        <v>20</v>
      </c>
      <c r="D27" s="2" t="s">
        <v>21</v>
      </c>
      <c r="E27" s="2" t="s">
        <v>22</v>
      </c>
      <c r="F27" s="2" t="s">
        <v>23</v>
      </c>
      <c r="G27" s="2" t="s">
        <v>24</v>
      </c>
      <c r="H27" s="4">
        <v>3</v>
      </c>
      <c r="I27" s="5">
        <v>349</v>
      </c>
      <c r="J27" s="6">
        <v>0.1</v>
      </c>
      <c r="K27" s="5">
        <v>942</v>
      </c>
      <c r="L27" s="5">
        <v>301</v>
      </c>
      <c r="M27" s="7">
        <v>5</v>
      </c>
    </row>
    <row r="28" spans="1:13" ht="21">
      <c r="A28" s="2" t="s">
        <v>65</v>
      </c>
      <c r="B28" s="3">
        <v>45931</v>
      </c>
      <c r="C28" s="2" t="s">
        <v>26</v>
      </c>
      <c r="D28" s="2" t="s">
        <v>27</v>
      </c>
      <c r="E28" s="2" t="s">
        <v>16</v>
      </c>
      <c r="F28" s="2" t="s">
        <v>28</v>
      </c>
      <c r="G28" s="2" t="s">
        <v>29</v>
      </c>
      <c r="H28" s="4">
        <v>5</v>
      </c>
      <c r="I28" s="5">
        <v>1299</v>
      </c>
      <c r="J28" s="6">
        <v>0.15</v>
      </c>
      <c r="K28" s="5">
        <v>5521</v>
      </c>
      <c r="L28" s="5">
        <v>1366</v>
      </c>
      <c r="M28" s="7">
        <v>3</v>
      </c>
    </row>
    <row r="29" spans="1:13" ht="21">
      <c r="A29" s="2" t="s">
        <v>66</v>
      </c>
      <c r="B29" s="3">
        <v>45789</v>
      </c>
      <c r="C29" s="2" t="s">
        <v>31</v>
      </c>
      <c r="D29" s="2" t="s">
        <v>15</v>
      </c>
      <c r="E29" s="2" t="s">
        <v>22</v>
      </c>
      <c r="F29" s="2" t="s">
        <v>32</v>
      </c>
      <c r="G29" s="2" t="s">
        <v>33</v>
      </c>
      <c r="H29" s="4">
        <v>2</v>
      </c>
      <c r="I29" s="5">
        <v>1899</v>
      </c>
      <c r="J29" s="6">
        <v>0</v>
      </c>
      <c r="K29" s="5">
        <v>3798</v>
      </c>
      <c r="L29" s="5">
        <v>760</v>
      </c>
      <c r="M29" s="7">
        <v>4</v>
      </c>
    </row>
    <row r="30" spans="1:13" ht="21">
      <c r="A30" s="2" t="s">
        <v>67</v>
      </c>
      <c r="B30" s="3">
        <v>46014</v>
      </c>
      <c r="C30" s="2" t="s">
        <v>35</v>
      </c>
      <c r="D30" s="2" t="s">
        <v>21</v>
      </c>
      <c r="E30" s="2" t="s">
        <v>16</v>
      </c>
      <c r="F30" s="2" t="s">
        <v>36</v>
      </c>
      <c r="G30" s="2" t="s">
        <v>33</v>
      </c>
      <c r="H30" s="4">
        <v>4</v>
      </c>
      <c r="I30" s="5">
        <v>1499</v>
      </c>
      <c r="J30" s="6">
        <v>0.05</v>
      </c>
      <c r="K30" s="5">
        <v>5696</v>
      </c>
      <c r="L30" s="5">
        <v>1367</v>
      </c>
      <c r="M30" s="7">
        <v>5</v>
      </c>
    </row>
    <row r="31" spans="1:13" ht="21">
      <c r="A31" s="2" t="s">
        <v>68</v>
      </c>
      <c r="B31" s="3">
        <v>45845</v>
      </c>
      <c r="C31" s="2" t="s">
        <v>38</v>
      </c>
      <c r="D31" s="2" t="s">
        <v>27</v>
      </c>
      <c r="E31" s="2" t="s">
        <v>22</v>
      </c>
      <c r="F31" s="2" t="s">
        <v>39</v>
      </c>
      <c r="G31" s="2" t="s">
        <v>18</v>
      </c>
      <c r="H31" s="4">
        <v>1</v>
      </c>
      <c r="I31" s="5">
        <v>1599</v>
      </c>
      <c r="J31" s="6">
        <v>0.1</v>
      </c>
      <c r="K31" s="5">
        <v>1439</v>
      </c>
      <c r="L31" s="5">
        <v>389</v>
      </c>
      <c r="M31" s="7">
        <v>3</v>
      </c>
    </row>
    <row r="32" spans="1:13" ht="21">
      <c r="A32" s="2" t="s">
        <v>69</v>
      </c>
      <c r="B32" s="3">
        <v>45706</v>
      </c>
      <c r="C32" s="2" t="s">
        <v>41</v>
      </c>
      <c r="D32" s="2" t="s">
        <v>42</v>
      </c>
      <c r="E32" s="2" t="s">
        <v>16</v>
      </c>
      <c r="F32" s="2" t="s">
        <v>43</v>
      </c>
      <c r="G32" s="2" t="s">
        <v>29</v>
      </c>
      <c r="H32" s="4">
        <v>3</v>
      </c>
      <c r="I32" s="5">
        <v>1199</v>
      </c>
      <c r="J32" s="6">
        <v>0.15</v>
      </c>
      <c r="K32" s="5">
        <v>3057</v>
      </c>
      <c r="L32" s="5">
        <v>795</v>
      </c>
      <c r="M32" s="7">
        <v>4</v>
      </c>
    </row>
    <row r="33" spans="1:13" ht="21">
      <c r="A33" s="2" t="s">
        <v>70</v>
      </c>
      <c r="B33" s="3">
        <v>45902</v>
      </c>
      <c r="C33" s="2" t="s">
        <v>45</v>
      </c>
      <c r="D33" s="2" t="s">
        <v>21</v>
      </c>
      <c r="E33" s="2" t="s">
        <v>22</v>
      </c>
      <c r="F33" s="2" t="s">
        <v>46</v>
      </c>
      <c r="G33" s="2" t="s">
        <v>33</v>
      </c>
      <c r="H33" s="4">
        <v>5</v>
      </c>
      <c r="I33" s="5">
        <v>899</v>
      </c>
      <c r="J33" s="6">
        <v>0</v>
      </c>
      <c r="K33" s="5">
        <v>4495</v>
      </c>
      <c r="L33" s="5">
        <v>989</v>
      </c>
      <c r="M33" s="7">
        <v>5</v>
      </c>
    </row>
    <row r="34" spans="1:13" ht="21">
      <c r="A34" s="2" t="s">
        <v>71</v>
      </c>
      <c r="B34" s="3">
        <v>45760</v>
      </c>
      <c r="C34" s="2" t="s">
        <v>14</v>
      </c>
      <c r="D34" s="2" t="s">
        <v>15</v>
      </c>
      <c r="E34" s="2" t="s">
        <v>16</v>
      </c>
      <c r="F34" s="2" t="s">
        <v>17</v>
      </c>
      <c r="G34" s="2" t="s">
        <v>18</v>
      </c>
      <c r="H34" s="4">
        <v>2</v>
      </c>
      <c r="I34" s="5">
        <v>599</v>
      </c>
      <c r="J34" s="6">
        <v>0.05</v>
      </c>
      <c r="K34" s="5">
        <v>1138</v>
      </c>
      <c r="L34" s="5">
        <v>341</v>
      </c>
      <c r="M34" s="7">
        <v>3</v>
      </c>
    </row>
    <row r="35" spans="1:13" ht="21">
      <c r="A35" s="2" t="s">
        <v>72</v>
      </c>
      <c r="B35" s="3">
        <v>45985</v>
      </c>
      <c r="C35" s="2" t="s">
        <v>20</v>
      </c>
      <c r="D35" s="2" t="s">
        <v>21</v>
      </c>
      <c r="E35" s="2" t="s">
        <v>22</v>
      </c>
      <c r="F35" s="2" t="s">
        <v>23</v>
      </c>
      <c r="G35" s="2" t="s">
        <v>24</v>
      </c>
      <c r="H35" s="4">
        <v>4</v>
      </c>
      <c r="I35" s="5">
        <v>349</v>
      </c>
      <c r="J35" s="6">
        <v>0.1</v>
      </c>
      <c r="K35" s="5">
        <v>1256</v>
      </c>
      <c r="L35" s="5">
        <v>402</v>
      </c>
      <c r="M35" s="7">
        <v>4</v>
      </c>
    </row>
    <row r="36" spans="1:13" ht="21">
      <c r="A36" s="2" t="s">
        <v>73</v>
      </c>
      <c r="B36" s="3">
        <v>45816</v>
      </c>
      <c r="C36" s="2" t="s">
        <v>26</v>
      </c>
      <c r="D36" s="2" t="s">
        <v>27</v>
      </c>
      <c r="E36" s="2" t="s">
        <v>16</v>
      </c>
      <c r="F36" s="2" t="s">
        <v>28</v>
      </c>
      <c r="G36" s="2" t="s">
        <v>29</v>
      </c>
      <c r="H36" s="4">
        <v>1</v>
      </c>
      <c r="I36" s="5">
        <v>1299</v>
      </c>
      <c r="J36" s="6">
        <v>0.15</v>
      </c>
      <c r="K36" s="5">
        <v>1104</v>
      </c>
      <c r="L36" s="5">
        <v>309</v>
      </c>
      <c r="M36" s="7">
        <v>5</v>
      </c>
    </row>
    <row r="37" spans="1:13" ht="21">
      <c r="A37" s="2" t="s">
        <v>74</v>
      </c>
      <c r="B37" s="3">
        <v>45676</v>
      </c>
      <c r="C37" s="2" t="s">
        <v>31</v>
      </c>
      <c r="D37" s="2" t="s">
        <v>15</v>
      </c>
      <c r="E37" s="2" t="s">
        <v>22</v>
      </c>
      <c r="F37" s="2" t="s">
        <v>32</v>
      </c>
      <c r="G37" s="2" t="s">
        <v>33</v>
      </c>
      <c r="H37" s="4">
        <v>3</v>
      </c>
      <c r="I37" s="5">
        <v>1899</v>
      </c>
      <c r="J37" s="6">
        <v>0</v>
      </c>
      <c r="K37" s="5">
        <v>5697</v>
      </c>
      <c r="L37" s="5">
        <v>959</v>
      </c>
      <c r="M37" s="7">
        <v>3</v>
      </c>
    </row>
    <row r="38" spans="1:13" ht="21">
      <c r="A38" s="2" t="s">
        <v>75</v>
      </c>
      <c r="B38" s="3">
        <v>45872</v>
      </c>
      <c r="C38" s="2" t="s">
        <v>35</v>
      </c>
      <c r="D38" s="2" t="s">
        <v>21</v>
      </c>
      <c r="E38" s="2" t="s">
        <v>16</v>
      </c>
      <c r="F38" s="2" t="s">
        <v>36</v>
      </c>
      <c r="G38" s="2" t="s">
        <v>33</v>
      </c>
      <c r="H38" s="4">
        <v>5</v>
      </c>
      <c r="I38" s="5">
        <v>1499</v>
      </c>
      <c r="J38" s="6">
        <v>0.05</v>
      </c>
      <c r="K38" s="5">
        <v>7120</v>
      </c>
      <c r="L38" s="5">
        <v>1709</v>
      </c>
      <c r="M38" s="7">
        <v>4</v>
      </c>
    </row>
    <row r="39" spans="1:13" ht="21">
      <c r="A39" s="2" t="s">
        <v>76</v>
      </c>
      <c r="B39" s="3">
        <v>45730</v>
      </c>
      <c r="C39" s="2" t="s">
        <v>38</v>
      </c>
      <c r="D39" s="2" t="s">
        <v>27</v>
      </c>
      <c r="E39" s="2" t="s">
        <v>22</v>
      </c>
      <c r="F39" s="2" t="s">
        <v>39</v>
      </c>
      <c r="G39" s="2" t="s">
        <v>18</v>
      </c>
      <c r="H39" s="4">
        <v>2</v>
      </c>
      <c r="I39" s="5">
        <v>1599</v>
      </c>
      <c r="J39" s="6">
        <v>0.1</v>
      </c>
      <c r="K39" s="5">
        <v>2878</v>
      </c>
      <c r="L39" s="5">
        <v>777</v>
      </c>
      <c r="M39" s="7">
        <v>5</v>
      </c>
    </row>
    <row r="40" spans="1:13" ht="21">
      <c r="A40" s="2" t="s">
        <v>77</v>
      </c>
      <c r="B40" s="3">
        <v>45955</v>
      </c>
      <c r="C40" s="2" t="s">
        <v>41</v>
      </c>
      <c r="D40" s="2" t="s">
        <v>42</v>
      </c>
      <c r="E40" s="2" t="s">
        <v>16</v>
      </c>
      <c r="F40" s="2" t="s">
        <v>43</v>
      </c>
      <c r="G40" s="2" t="s">
        <v>29</v>
      </c>
      <c r="H40" s="4">
        <v>4</v>
      </c>
      <c r="I40" s="5">
        <v>1199</v>
      </c>
      <c r="J40" s="6">
        <v>0.15</v>
      </c>
      <c r="K40" s="5">
        <v>4077</v>
      </c>
      <c r="L40" s="5">
        <v>1060</v>
      </c>
      <c r="M40" s="7">
        <v>3</v>
      </c>
    </row>
    <row r="41" spans="1:13" ht="21">
      <c r="A41" s="2" t="s">
        <v>78</v>
      </c>
      <c r="B41" s="3">
        <v>45786</v>
      </c>
      <c r="C41" s="2" t="s">
        <v>45</v>
      </c>
      <c r="D41" s="2" t="s">
        <v>21</v>
      </c>
      <c r="E41" s="2" t="s">
        <v>22</v>
      </c>
      <c r="F41" s="2" t="s">
        <v>46</v>
      </c>
      <c r="G41" s="2" t="s">
        <v>33</v>
      </c>
      <c r="H41" s="4">
        <v>1</v>
      </c>
      <c r="I41" s="5">
        <v>899</v>
      </c>
      <c r="J41" s="6">
        <v>0</v>
      </c>
      <c r="K41" s="5">
        <v>899</v>
      </c>
      <c r="L41" s="5">
        <v>198</v>
      </c>
      <c r="M41" s="7">
        <v>4</v>
      </c>
    </row>
    <row r="42" spans="1:13" ht="21">
      <c r="A42" s="2" t="s">
        <v>79</v>
      </c>
      <c r="B42" s="3">
        <v>46011</v>
      </c>
      <c r="C42" s="2" t="s">
        <v>14</v>
      </c>
      <c r="D42" s="2" t="s">
        <v>15</v>
      </c>
      <c r="E42" s="2" t="s">
        <v>16</v>
      </c>
      <c r="F42" s="2" t="s">
        <v>17</v>
      </c>
      <c r="G42" s="2" t="s">
        <v>18</v>
      </c>
      <c r="H42" s="4">
        <v>3</v>
      </c>
      <c r="I42" s="5">
        <v>599</v>
      </c>
      <c r="J42" s="6">
        <v>0.05</v>
      </c>
      <c r="K42" s="5">
        <v>1707</v>
      </c>
      <c r="L42" s="5">
        <v>512</v>
      </c>
      <c r="M42" s="7">
        <v>5</v>
      </c>
    </row>
    <row r="43" spans="1:13" ht="21">
      <c r="A43" s="2" t="s">
        <v>80</v>
      </c>
      <c r="B43" s="3">
        <v>45842</v>
      </c>
      <c r="C43" s="2" t="s">
        <v>20</v>
      </c>
      <c r="D43" s="2" t="s">
        <v>21</v>
      </c>
      <c r="E43" s="2" t="s">
        <v>22</v>
      </c>
      <c r="F43" s="2" t="s">
        <v>23</v>
      </c>
      <c r="G43" s="2" t="s">
        <v>24</v>
      </c>
      <c r="H43" s="4">
        <v>5</v>
      </c>
      <c r="I43" s="5">
        <v>349</v>
      </c>
      <c r="J43" s="6">
        <v>0.1</v>
      </c>
      <c r="K43" s="5">
        <v>1571</v>
      </c>
      <c r="L43" s="5">
        <v>503</v>
      </c>
      <c r="M43" s="7">
        <v>3</v>
      </c>
    </row>
    <row r="44" spans="1:13" ht="21">
      <c r="A44" s="2" t="s">
        <v>81</v>
      </c>
      <c r="B44" s="3">
        <v>45703</v>
      </c>
      <c r="C44" s="2" t="s">
        <v>26</v>
      </c>
      <c r="D44" s="2" t="s">
        <v>27</v>
      </c>
      <c r="E44" s="2" t="s">
        <v>16</v>
      </c>
      <c r="F44" s="2" t="s">
        <v>28</v>
      </c>
      <c r="G44" s="2" t="s">
        <v>29</v>
      </c>
      <c r="H44" s="4">
        <v>2</v>
      </c>
      <c r="I44" s="5">
        <v>1299</v>
      </c>
      <c r="J44" s="6">
        <v>0.15</v>
      </c>
      <c r="K44" s="5">
        <v>2208</v>
      </c>
      <c r="L44" s="5">
        <v>618</v>
      </c>
      <c r="M44" s="7">
        <v>4</v>
      </c>
    </row>
    <row r="45" spans="1:13" ht="21">
      <c r="A45" s="2" t="s">
        <v>82</v>
      </c>
      <c r="B45" s="3">
        <v>45926</v>
      </c>
      <c r="C45" s="2" t="s">
        <v>31</v>
      </c>
      <c r="D45" s="2" t="s">
        <v>15</v>
      </c>
      <c r="E45" s="2" t="s">
        <v>22</v>
      </c>
      <c r="F45" s="2" t="s">
        <v>32</v>
      </c>
      <c r="G45" s="2" t="s">
        <v>33</v>
      </c>
      <c r="H45" s="4">
        <v>4</v>
      </c>
      <c r="I45" s="5">
        <v>1899</v>
      </c>
      <c r="J45" s="6">
        <v>0</v>
      </c>
      <c r="K45" s="5">
        <v>7596</v>
      </c>
      <c r="L45" s="5">
        <v>1519</v>
      </c>
      <c r="M45" s="7">
        <v>5</v>
      </c>
    </row>
    <row r="46" spans="1:13" ht="21">
      <c r="A46" s="2" t="s">
        <v>83</v>
      </c>
      <c r="B46" s="3">
        <v>45757</v>
      </c>
      <c r="C46" s="2" t="s">
        <v>35</v>
      </c>
      <c r="D46" s="2" t="s">
        <v>21</v>
      </c>
      <c r="E46" s="2" t="s">
        <v>16</v>
      </c>
      <c r="F46" s="2" t="s">
        <v>36</v>
      </c>
      <c r="G46" s="2" t="s">
        <v>33</v>
      </c>
      <c r="H46" s="4">
        <v>1</v>
      </c>
      <c r="I46" s="5">
        <v>1499</v>
      </c>
      <c r="J46" s="6">
        <v>0.05</v>
      </c>
      <c r="K46" s="5">
        <v>1424</v>
      </c>
      <c r="L46" s="5">
        <v>162</v>
      </c>
      <c r="M46" s="7">
        <v>3</v>
      </c>
    </row>
    <row r="47" spans="1:13" ht="21">
      <c r="A47" s="2" t="s">
        <v>84</v>
      </c>
      <c r="B47" s="3">
        <v>45982</v>
      </c>
      <c r="C47" s="2" t="s">
        <v>38</v>
      </c>
      <c r="D47" s="2" t="s">
        <v>27</v>
      </c>
      <c r="E47" s="2" t="s">
        <v>22</v>
      </c>
      <c r="F47" s="2" t="s">
        <v>39</v>
      </c>
      <c r="G47" s="2" t="s">
        <v>18</v>
      </c>
      <c r="H47" s="4">
        <v>3</v>
      </c>
      <c r="I47" s="5">
        <v>1599</v>
      </c>
      <c r="J47" s="6">
        <v>0.1</v>
      </c>
      <c r="K47" s="5">
        <v>4317</v>
      </c>
      <c r="L47" s="5">
        <v>1166</v>
      </c>
      <c r="M47" s="7">
        <v>4</v>
      </c>
    </row>
    <row r="48" spans="1:13" ht="21">
      <c r="A48" s="2" t="s">
        <v>85</v>
      </c>
      <c r="B48" s="3">
        <v>45813</v>
      </c>
      <c r="C48" s="2" t="s">
        <v>41</v>
      </c>
      <c r="D48" s="2" t="s">
        <v>42</v>
      </c>
      <c r="E48" s="2" t="s">
        <v>16</v>
      </c>
      <c r="F48" s="2" t="s">
        <v>43</v>
      </c>
      <c r="G48" s="2" t="s">
        <v>29</v>
      </c>
      <c r="H48" s="4">
        <v>5</v>
      </c>
      <c r="I48" s="5">
        <v>1199</v>
      </c>
      <c r="J48" s="6">
        <v>0.15</v>
      </c>
      <c r="K48" s="5">
        <v>5096</v>
      </c>
      <c r="L48" s="5">
        <v>1325</v>
      </c>
      <c r="M48" s="7">
        <v>5</v>
      </c>
    </row>
    <row r="49" spans="1:13" ht="21">
      <c r="A49" s="2" t="s">
        <v>86</v>
      </c>
      <c r="B49" s="3">
        <v>45673</v>
      </c>
      <c r="C49" s="2" t="s">
        <v>45</v>
      </c>
      <c r="D49" s="2" t="s">
        <v>21</v>
      </c>
      <c r="E49" s="2" t="s">
        <v>22</v>
      </c>
      <c r="F49" s="2" t="s">
        <v>46</v>
      </c>
      <c r="G49" s="2" t="s">
        <v>33</v>
      </c>
      <c r="H49" s="4">
        <v>2</v>
      </c>
      <c r="I49" s="5">
        <v>899</v>
      </c>
      <c r="J49" s="6">
        <v>0</v>
      </c>
      <c r="K49" s="5">
        <v>1798</v>
      </c>
      <c r="L49" s="5">
        <v>396</v>
      </c>
      <c r="M49" s="7">
        <v>3</v>
      </c>
    </row>
    <row r="50" spans="1:13" ht="21">
      <c r="A50" s="2" t="s">
        <v>87</v>
      </c>
      <c r="B50" s="3">
        <v>45896</v>
      </c>
      <c r="C50" s="2" t="s">
        <v>14</v>
      </c>
      <c r="D50" s="2" t="s">
        <v>15</v>
      </c>
      <c r="E50" s="2" t="s">
        <v>16</v>
      </c>
      <c r="F50" s="2" t="s">
        <v>17</v>
      </c>
      <c r="G50" s="2" t="s">
        <v>18</v>
      </c>
      <c r="H50" s="4">
        <v>4</v>
      </c>
      <c r="I50" s="5">
        <v>599</v>
      </c>
      <c r="J50" s="6">
        <v>0.05</v>
      </c>
      <c r="K50" s="5">
        <v>2276</v>
      </c>
      <c r="L50" s="5">
        <v>683</v>
      </c>
      <c r="M50" s="7">
        <v>4</v>
      </c>
    </row>
    <row r="51" spans="1:13" ht="21">
      <c r="A51" s="2" t="s">
        <v>88</v>
      </c>
      <c r="B51" s="3">
        <v>45727</v>
      </c>
      <c r="C51" s="2" t="s">
        <v>20</v>
      </c>
      <c r="D51" s="2" t="s">
        <v>21</v>
      </c>
      <c r="E51" s="2" t="s">
        <v>22</v>
      </c>
      <c r="F51" s="2" t="s">
        <v>23</v>
      </c>
      <c r="G51" s="2" t="s">
        <v>24</v>
      </c>
      <c r="H51" s="4">
        <v>1</v>
      </c>
      <c r="I51" s="5">
        <v>349</v>
      </c>
      <c r="J51" s="6">
        <v>0.1</v>
      </c>
      <c r="K51" s="5">
        <v>314</v>
      </c>
      <c r="L51" s="5">
        <v>100</v>
      </c>
      <c r="M51" s="7">
        <v>5</v>
      </c>
    </row>
    <row r="52" spans="1:13" ht="21">
      <c r="A52" s="2" t="s">
        <v>89</v>
      </c>
      <c r="B52" s="3">
        <v>45952</v>
      </c>
      <c r="C52" s="2" t="s">
        <v>26</v>
      </c>
      <c r="D52" s="2" t="s">
        <v>27</v>
      </c>
      <c r="E52" s="2" t="s">
        <v>16</v>
      </c>
      <c r="F52" s="2" t="s">
        <v>28</v>
      </c>
      <c r="G52" s="2" t="s">
        <v>29</v>
      </c>
      <c r="H52" s="4">
        <v>3</v>
      </c>
      <c r="I52" s="5">
        <v>1299</v>
      </c>
      <c r="J52" s="6">
        <v>0.15</v>
      </c>
      <c r="K52" s="5">
        <v>3312</v>
      </c>
      <c r="L52" s="5">
        <v>927</v>
      </c>
      <c r="M52" s="7">
        <v>3</v>
      </c>
    </row>
    <row r="53" spans="1:13" ht="21">
      <c r="A53" s="2" t="s">
        <v>90</v>
      </c>
      <c r="B53" s="3">
        <v>45783</v>
      </c>
      <c r="C53" s="2" t="s">
        <v>31</v>
      </c>
      <c r="D53" s="2" t="s">
        <v>15</v>
      </c>
      <c r="E53" s="2" t="s">
        <v>22</v>
      </c>
      <c r="F53" s="2" t="s">
        <v>32</v>
      </c>
      <c r="G53" s="2" t="s">
        <v>33</v>
      </c>
      <c r="H53" s="4">
        <v>5</v>
      </c>
      <c r="I53" s="5">
        <v>1899</v>
      </c>
      <c r="J53" s="6">
        <v>0</v>
      </c>
      <c r="K53" s="5">
        <v>9495</v>
      </c>
      <c r="L53" s="5">
        <v>1899</v>
      </c>
      <c r="M53" s="7">
        <v>4</v>
      </c>
    </row>
    <row r="54" spans="1:13" ht="21" hidden="1">
      <c r="A54" s="2" t="s">
        <v>91</v>
      </c>
      <c r="B54" s="3">
        <v>46008</v>
      </c>
      <c r="C54" s="2"/>
      <c r="D54" s="2" t="s">
        <v>21</v>
      </c>
      <c r="E54" s="2" t="s">
        <v>16</v>
      </c>
      <c r="F54" s="2" t="s">
        <v>36</v>
      </c>
      <c r="G54" s="2" t="s">
        <v>33</v>
      </c>
      <c r="H54" s="4">
        <v>2</v>
      </c>
      <c r="I54" s="5">
        <v>1499</v>
      </c>
      <c r="J54" s="6">
        <v>0.05</v>
      </c>
      <c r="K54" s="5">
        <v>2848</v>
      </c>
      <c r="L54" s="5">
        <v>684</v>
      </c>
      <c r="M54" s="7">
        <v>5</v>
      </c>
    </row>
    <row r="55" spans="1:13" ht="21">
      <c r="A55" s="2" t="s">
        <v>92</v>
      </c>
      <c r="B55" s="3">
        <v>45839</v>
      </c>
      <c r="C55" s="2" t="s">
        <v>38</v>
      </c>
      <c r="D55" s="2" t="s">
        <v>27</v>
      </c>
      <c r="E55" s="2" t="s">
        <v>22</v>
      </c>
      <c r="F55" s="2" t="s">
        <v>39</v>
      </c>
      <c r="G55" s="2" t="s">
        <v>18</v>
      </c>
      <c r="H55" s="4">
        <v>4</v>
      </c>
      <c r="I55" s="5">
        <v>1599</v>
      </c>
      <c r="J55" s="6">
        <v>0.1</v>
      </c>
      <c r="K55" s="5">
        <v>5756</v>
      </c>
      <c r="L55" s="5">
        <v>1374</v>
      </c>
      <c r="M55" s="7">
        <v>3</v>
      </c>
    </row>
    <row r="56" spans="1:13" ht="21">
      <c r="A56" s="2" t="s">
        <v>93</v>
      </c>
      <c r="B56" s="3">
        <v>45700</v>
      </c>
      <c r="C56" s="2" t="s">
        <v>41</v>
      </c>
      <c r="D56" s="2" t="s">
        <v>42</v>
      </c>
      <c r="E56" s="2" t="s">
        <v>16</v>
      </c>
      <c r="F56" s="2" t="s">
        <v>43</v>
      </c>
      <c r="G56" s="2" t="s">
        <v>29</v>
      </c>
      <c r="H56" s="4">
        <v>1</v>
      </c>
      <c r="I56" s="5">
        <v>1199</v>
      </c>
      <c r="J56" s="6">
        <v>0.15</v>
      </c>
      <c r="K56" s="5">
        <v>1019</v>
      </c>
      <c r="L56" s="5">
        <v>265</v>
      </c>
      <c r="M56" s="7">
        <v>4</v>
      </c>
    </row>
    <row r="57" spans="1:13" ht="21">
      <c r="A57" s="2" t="s">
        <v>94</v>
      </c>
      <c r="B57" s="3">
        <v>45923</v>
      </c>
      <c r="C57" s="2" t="s">
        <v>45</v>
      </c>
      <c r="D57" s="2" t="s">
        <v>21</v>
      </c>
      <c r="E57" s="2" t="s">
        <v>22</v>
      </c>
      <c r="F57" s="2" t="s">
        <v>46</v>
      </c>
      <c r="G57" s="2" t="s">
        <v>33</v>
      </c>
      <c r="H57" s="4">
        <v>3</v>
      </c>
      <c r="I57" s="5">
        <v>899</v>
      </c>
      <c r="J57" s="6">
        <v>0</v>
      </c>
      <c r="K57" s="5">
        <v>2697</v>
      </c>
      <c r="L57" s="5">
        <v>593</v>
      </c>
      <c r="M57" s="7">
        <v>5</v>
      </c>
    </row>
    <row r="58" spans="1:13" ht="21">
      <c r="A58" s="2" t="s">
        <v>95</v>
      </c>
      <c r="B58" s="3">
        <v>45754</v>
      </c>
      <c r="C58" s="2" t="s">
        <v>14</v>
      </c>
      <c r="D58" s="2" t="s">
        <v>15</v>
      </c>
      <c r="E58" s="2" t="s">
        <v>16</v>
      </c>
      <c r="F58" s="2" t="s">
        <v>17</v>
      </c>
      <c r="G58" s="2" t="s">
        <v>18</v>
      </c>
      <c r="H58" s="4">
        <v>5</v>
      </c>
      <c r="I58" s="5">
        <v>599</v>
      </c>
      <c r="J58" s="6">
        <v>0.05</v>
      </c>
      <c r="K58" s="5">
        <v>2845</v>
      </c>
      <c r="L58" s="5">
        <v>854</v>
      </c>
      <c r="M58" s="7">
        <v>3</v>
      </c>
    </row>
    <row r="59" spans="1:13" ht="21">
      <c r="A59" s="2" t="s">
        <v>96</v>
      </c>
      <c r="B59" s="3">
        <v>45979</v>
      </c>
      <c r="C59" s="2" t="s">
        <v>20</v>
      </c>
      <c r="D59" s="2" t="s">
        <v>21</v>
      </c>
      <c r="E59" s="2" t="s">
        <v>22</v>
      </c>
      <c r="F59" s="2" t="s">
        <v>23</v>
      </c>
      <c r="G59" s="2" t="s">
        <v>24</v>
      </c>
      <c r="H59" s="4">
        <v>2</v>
      </c>
      <c r="I59" s="5">
        <v>349</v>
      </c>
      <c r="J59" s="6">
        <v>0.1</v>
      </c>
      <c r="K59" s="5">
        <v>628</v>
      </c>
      <c r="L59" s="5">
        <v>201</v>
      </c>
      <c r="M59" s="7">
        <v>4</v>
      </c>
    </row>
    <row r="60" spans="1:13" ht="21">
      <c r="A60" s="2" t="s">
        <v>97</v>
      </c>
      <c r="B60" s="3">
        <v>45810</v>
      </c>
      <c r="C60" s="2" t="s">
        <v>26</v>
      </c>
      <c r="D60" s="2" t="s">
        <v>27</v>
      </c>
      <c r="E60" s="2" t="s">
        <v>16</v>
      </c>
      <c r="F60" s="2" t="s">
        <v>28</v>
      </c>
      <c r="G60" s="2" t="s">
        <v>29</v>
      </c>
      <c r="H60" s="4">
        <v>4</v>
      </c>
      <c r="I60" s="5">
        <v>1299</v>
      </c>
      <c r="J60" s="6">
        <v>0.15</v>
      </c>
      <c r="K60" s="5">
        <v>4417</v>
      </c>
      <c r="L60" s="5">
        <v>1237</v>
      </c>
      <c r="M60" s="7">
        <v>5</v>
      </c>
    </row>
    <row r="61" spans="1:13" ht="21">
      <c r="A61" s="2" t="s">
        <v>98</v>
      </c>
      <c r="B61" s="3">
        <v>45670</v>
      </c>
      <c r="C61" s="2" t="s">
        <v>31</v>
      </c>
      <c r="D61" s="2" t="s">
        <v>15</v>
      </c>
      <c r="E61" s="2" t="s">
        <v>22</v>
      </c>
      <c r="F61" s="2" t="s">
        <v>32</v>
      </c>
      <c r="G61" s="2" t="s">
        <v>33</v>
      </c>
      <c r="H61" s="4">
        <v>1</v>
      </c>
      <c r="I61" s="5">
        <v>1899</v>
      </c>
      <c r="J61" s="6">
        <v>0</v>
      </c>
      <c r="K61" s="5">
        <v>1899</v>
      </c>
      <c r="L61" s="5">
        <v>380</v>
      </c>
      <c r="M61" s="7">
        <v>3</v>
      </c>
    </row>
    <row r="62" spans="1:13" ht="21">
      <c r="A62" s="2" t="s">
        <v>99</v>
      </c>
      <c r="B62" s="3">
        <v>45893</v>
      </c>
      <c r="C62" s="2" t="s">
        <v>35</v>
      </c>
      <c r="D62" s="2" t="s">
        <v>21</v>
      </c>
      <c r="E62" s="2" t="s">
        <v>16</v>
      </c>
      <c r="F62" s="2" t="s">
        <v>36</v>
      </c>
      <c r="G62" s="2" t="s">
        <v>33</v>
      </c>
      <c r="H62" s="4">
        <v>3</v>
      </c>
      <c r="I62" s="5">
        <v>1499</v>
      </c>
      <c r="J62" s="6">
        <v>0.05</v>
      </c>
      <c r="K62" s="5">
        <v>4272</v>
      </c>
      <c r="L62" s="5">
        <v>1025</v>
      </c>
      <c r="M62" s="7">
        <v>4</v>
      </c>
    </row>
    <row r="63" spans="1:13" ht="21">
      <c r="A63" s="2" t="s">
        <v>100</v>
      </c>
      <c r="B63" s="3">
        <v>45724</v>
      </c>
      <c r="C63" s="2" t="s">
        <v>38</v>
      </c>
      <c r="D63" s="2" t="s">
        <v>27</v>
      </c>
      <c r="E63" s="2" t="s">
        <v>22</v>
      </c>
      <c r="F63" s="2" t="s">
        <v>39</v>
      </c>
      <c r="G63" s="2" t="s">
        <v>18</v>
      </c>
      <c r="H63" s="4">
        <v>5</v>
      </c>
      <c r="I63" s="5">
        <v>1599</v>
      </c>
      <c r="J63" s="6">
        <v>0.1</v>
      </c>
      <c r="K63" s="5">
        <v>7196</v>
      </c>
      <c r="L63" s="5">
        <v>1943</v>
      </c>
      <c r="M63" s="7">
        <v>5</v>
      </c>
    </row>
    <row r="64" spans="1:13" ht="21">
      <c r="A64" s="2" t="s">
        <v>101</v>
      </c>
      <c r="B64" s="3">
        <v>45949</v>
      </c>
      <c r="C64" s="2" t="s">
        <v>41</v>
      </c>
      <c r="D64" s="2" t="s">
        <v>42</v>
      </c>
      <c r="E64" s="2" t="s">
        <v>16</v>
      </c>
      <c r="F64" s="2" t="s">
        <v>43</v>
      </c>
      <c r="G64" s="2" t="s">
        <v>29</v>
      </c>
      <c r="H64" s="4">
        <v>2</v>
      </c>
      <c r="I64" s="5">
        <v>1199</v>
      </c>
      <c r="J64" s="6">
        <v>0.15</v>
      </c>
      <c r="K64" s="5">
        <v>2038</v>
      </c>
      <c r="L64" s="5">
        <v>350</v>
      </c>
      <c r="M64" s="7">
        <v>3</v>
      </c>
    </row>
    <row r="65" spans="1:13" ht="21">
      <c r="A65" s="2" t="s">
        <v>102</v>
      </c>
      <c r="B65" s="3">
        <v>45780</v>
      </c>
      <c r="C65" s="2" t="s">
        <v>45</v>
      </c>
      <c r="D65" s="2" t="s">
        <v>21</v>
      </c>
      <c r="E65" s="2" t="s">
        <v>22</v>
      </c>
      <c r="F65" s="2" t="s">
        <v>46</v>
      </c>
      <c r="G65" s="2" t="s">
        <v>33</v>
      </c>
      <c r="H65" s="4">
        <v>4</v>
      </c>
      <c r="I65" s="5">
        <v>899</v>
      </c>
      <c r="J65" s="6">
        <v>0</v>
      </c>
      <c r="K65" s="5">
        <v>3596</v>
      </c>
      <c r="L65" s="5">
        <v>791</v>
      </c>
      <c r="M65" s="7">
        <v>4</v>
      </c>
    </row>
    <row r="66" spans="1:13" ht="21">
      <c r="A66" s="2" t="s">
        <v>103</v>
      </c>
      <c r="B66" s="3">
        <v>46005</v>
      </c>
      <c r="C66" s="2" t="s">
        <v>14</v>
      </c>
      <c r="D66" s="2" t="s">
        <v>15</v>
      </c>
      <c r="E66" s="2" t="s">
        <v>16</v>
      </c>
      <c r="F66" s="2" t="s">
        <v>17</v>
      </c>
      <c r="G66" s="2" t="s">
        <v>18</v>
      </c>
      <c r="H66" s="4">
        <v>1</v>
      </c>
      <c r="I66" s="5">
        <v>599</v>
      </c>
      <c r="J66" s="6">
        <v>0.05</v>
      </c>
      <c r="K66" s="5">
        <v>569</v>
      </c>
      <c r="L66" s="5">
        <v>171</v>
      </c>
      <c r="M66" s="7">
        <v>5</v>
      </c>
    </row>
    <row r="67" spans="1:13" ht="21">
      <c r="A67" s="2" t="s">
        <v>104</v>
      </c>
      <c r="B67" s="3">
        <v>45863</v>
      </c>
      <c r="C67" s="2" t="s">
        <v>20</v>
      </c>
      <c r="D67" s="2" t="s">
        <v>21</v>
      </c>
      <c r="E67" s="2" t="s">
        <v>22</v>
      </c>
      <c r="F67" s="2" t="s">
        <v>23</v>
      </c>
      <c r="G67" s="2" t="s">
        <v>24</v>
      </c>
      <c r="H67" s="4">
        <v>3</v>
      </c>
      <c r="I67" s="5">
        <v>349</v>
      </c>
      <c r="J67" s="6">
        <v>0.1</v>
      </c>
      <c r="K67" s="5">
        <v>942</v>
      </c>
      <c r="L67" s="5">
        <v>301</v>
      </c>
      <c r="M67" s="7">
        <v>3</v>
      </c>
    </row>
    <row r="68" spans="1:13" ht="21">
      <c r="A68" s="2" t="s">
        <v>105</v>
      </c>
      <c r="B68" s="3">
        <v>45697</v>
      </c>
      <c r="C68" s="2" t="s">
        <v>26</v>
      </c>
      <c r="D68" s="2" t="s">
        <v>27</v>
      </c>
      <c r="E68" s="2" t="s">
        <v>16</v>
      </c>
      <c r="F68" s="2" t="s">
        <v>28</v>
      </c>
      <c r="G68" s="2" t="s">
        <v>29</v>
      </c>
      <c r="H68" s="4">
        <v>5</v>
      </c>
      <c r="I68" s="5">
        <v>1299</v>
      </c>
      <c r="J68" s="6">
        <v>0.15</v>
      </c>
      <c r="K68" s="5">
        <v>5521</v>
      </c>
      <c r="L68" s="5">
        <v>1546</v>
      </c>
      <c r="M68" s="7">
        <v>4</v>
      </c>
    </row>
    <row r="69" spans="1:13" ht="21">
      <c r="A69" s="2" t="s">
        <v>106</v>
      </c>
      <c r="B69" s="3">
        <v>45920</v>
      </c>
      <c r="C69" s="2" t="s">
        <v>31</v>
      </c>
      <c r="D69" s="2" t="s">
        <v>15</v>
      </c>
      <c r="E69" s="2" t="s">
        <v>22</v>
      </c>
      <c r="F69" s="2" t="s">
        <v>32</v>
      </c>
      <c r="G69" s="2" t="s">
        <v>33</v>
      </c>
      <c r="H69" s="4">
        <v>2</v>
      </c>
      <c r="I69" s="5">
        <v>1899</v>
      </c>
      <c r="J69" s="6">
        <v>0</v>
      </c>
      <c r="K69" s="5">
        <v>3798</v>
      </c>
      <c r="L69" s="5">
        <v>760</v>
      </c>
      <c r="M69" s="7">
        <v>5</v>
      </c>
    </row>
    <row r="70" spans="1:13" ht="21">
      <c r="A70" s="2" t="s">
        <v>107</v>
      </c>
      <c r="B70" s="3">
        <v>45751</v>
      </c>
      <c r="C70" s="2" t="s">
        <v>35</v>
      </c>
      <c r="D70" s="2" t="s">
        <v>21</v>
      </c>
      <c r="E70" s="2" t="s">
        <v>16</v>
      </c>
      <c r="F70" s="2" t="s">
        <v>36</v>
      </c>
      <c r="G70" s="2" t="s">
        <v>33</v>
      </c>
      <c r="H70" s="4">
        <v>4</v>
      </c>
      <c r="I70" s="5">
        <v>1499</v>
      </c>
      <c r="J70" s="6">
        <v>0.05</v>
      </c>
      <c r="K70" s="5">
        <v>5696</v>
      </c>
      <c r="L70" s="5">
        <v>1367</v>
      </c>
      <c r="M70" s="7">
        <v>3</v>
      </c>
    </row>
    <row r="71" spans="1:13" ht="21">
      <c r="A71" s="2" t="s">
        <v>108</v>
      </c>
      <c r="B71" s="3">
        <v>45976</v>
      </c>
      <c r="C71" s="2" t="s">
        <v>38</v>
      </c>
      <c r="D71" s="2" t="s">
        <v>27</v>
      </c>
      <c r="E71" s="2" t="s">
        <v>22</v>
      </c>
      <c r="F71" s="2" t="s">
        <v>39</v>
      </c>
      <c r="G71" s="2" t="s">
        <v>18</v>
      </c>
      <c r="H71" s="4">
        <v>1</v>
      </c>
      <c r="I71" s="5">
        <v>1599</v>
      </c>
      <c r="J71" s="6">
        <v>0.1</v>
      </c>
      <c r="K71" s="5">
        <v>1439</v>
      </c>
      <c r="L71" s="5">
        <v>389</v>
      </c>
      <c r="M71" s="7">
        <v>4</v>
      </c>
    </row>
    <row r="72" spans="1:13" ht="21">
      <c r="A72" s="2" t="s">
        <v>109</v>
      </c>
      <c r="B72" s="3">
        <v>45834</v>
      </c>
      <c r="C72" s="2" t="s">
        <v>41</v>
      </c>
      <c r="D72" s="2" t="s">
        <v>42</v>
      </c>
      <c r="E72" s="2" t="s">
        <v>16</v>
      </c>
      <c r="F72" s="2" t="s">
        <v>43</v>
      </c>
      <c r="G72" s="2" t="s">
        <v>29</v>
      </c>
      <c r="H72" s="4">
        <v>3</v>
      </c>
      <c r="I72" s="5">
        <v>1199</v>
      </c>
      <c r="J72" s="6">
        <v>0.15</v>
      </c>
      <c r="K72" s="5">
        <v>3057</v>
      </c>
      <c r="L72" s="5">
        <v>795</v>
      </c>
      <c r="M72" s="7">
        <v>5</v>
      </c>
    </row>
    <row r="73" spans="1:13" ht="21">
      <c r="A73" s="2" t="s">
        <v>110</v>
      </c>
      <c r="B73" s="3">
        <v>45667</v>
      </c>
      <c r="C73" s="2" t="s">
        <v>45</v>
      </c>
      <c r="D73" s="2" t="s">
        <v>21</v>
      </c>
      <c r="E73" s="2" t="s">
        <v>22</v>
      </c>
      <c r="F73" s="2" t="s">
        <v>46</v>
      </c>
      <c r="G73" s="2" t="s">
        <v>33</v>
      </c>
      <c r="H73" s="4">
        <v>5</v>
      </c>
      <c r="I73" s="5">
        <v>899</v>
      </c>
      <c r="J73" s="6">
        <v>0</v>
      </c>
      <c r="K73" s="5">
        <v>4495</v>
      </c>
      <c r="L73" s="5">
        <v>809</v>
      </c>
      <c r="M73" s="7">
        <v>3</v>
      </c>
    </row>
    <row r="74" spans="1:13" ht="21">
      <c r="A74" s="2" t="s">
        <v>111</v>
      </c>
      <c r="B74" s="3">
        <v>45890</v>
      </c>
      <c r="C74" s="2" t="s">
        <v>14</v>
      </c>
      <c r="D74" s="2" t="s">
        <v>15</v>
      </c>
      <c r="E74" s="2" t="s">
        <v>16</v>
      </c>
      <c r="F74" s="2" t="s">
        <v>17</v>
      </c>
      <c r="G74" s="2" t="s">
        <v>18</v>
      </c>
      <c r="H74" s="4">
        <v>2</v>
      </c>
      <c r="I74" s="5">
        <v>599</v>
      </c>
      <c r="J74" s="6">
        <v>0.05</v>
      </c>
      <c r="K74" s="5">
        <v>1138</v>
      </c>
      <c r="L74" s="5">
        <v>341</v>
      </c>
      <c r="M74" s="7">
        <v>4</v>
      </c>
    </row>
    <row r="75" spans="1:13" ht="21">
      <c r="A75" s="2" t="s">
        <v>112</v>
      </c>
      <c r="B75" s="3">
        <v>45721</v>
      </c>
      <c r="C75" s="2" t="s">
        <v>20</v>
      </c>
      <c r="D75" s="2" t="s">
        <v>21</v>
      </c>
      <c r="E75" s="2" t="s">
        <v>22</v>
      </c>
      <c r="F75" s="2" t="s">
        <v>23</v>
      </c>
      <c r="G75" s="2" t="s">
        <v>24</v>
      </c>
      <c r="H75" s="4">
        <v>4</v>
      </c>
      <c r="I75" s="5">
        <v>349</v>
      </c>
      <c r="J75" s="6">
        <v>0.1</v>
      </c>
      <c r="K75" s="5">
        <v>1256</v>
      </c>
      <c r="L75" s="5">
        <v>402</v>
      </c>
      <c r="M75" s="7">
        <v>5</v>
      </c>
    </row>
    <row r="76" spans="1:13" ht="21">
      <c r="A76" s="2" t="s">
        <v>113</v>
      </c>
      <c r="B76" s="3">
        <v>45946</v>
      </c>
      <c r="C76" s="2" t="s">
        <v>26</v>
      </c>
      <c r="D76" s="2" t="s">
        <v>27</v>
      </c>
      <c r="E76" s="2" t="s">
        <v>16</v>
      </c>
      <c r="F76" s="2" t="s">
        <v>28</v>
      </c>
      <c r="G76" s="2" t="s">
        <v>29</v>
      </c>
      <c r="H76" s="4">
        <v>1</v>
      </c>
      <c r="I76" s="5">
        <v>1299</v>
      </c>
      <c r="J76" s="6">
        <v>0.15</v>
      </c>
      <c r="K76" s="5">
        <v>1104</v>
      </c>
      <c r="L76" s="5">
        <v>309</v>
      </c>
      <c r="M76" s="7">
        <v>3</v>
      </c>
    </row>
    <row r="77" spans="1:13" ht="21">
      <c r="A77" s="2" t="s">
        <v>114</v>
      </c>
      <c r="B77" s="3">
        <v>45804</v>
      </c>
      <c r="C77" s="2" t="s">
        <v>31</v>
      </c>
      <c r="D77" s="2" t="s">
        <v>15</v>
      </c>
      <c r="E77" s="2" t="s">
        <v>22</v>
      </c>
      <c r="F77" s="2" t="s">
        <v>32</v>
      </c>
      <c r="G77" s="2" t="s">
        <v>33</v>
      </c>
      <c r="H77" s="4">
        <v>3</v>
      </c>
      <c r="I77" s="5">
        <v>1899</v>
      </c>
      <c r="J77" s="6">
        <v>0</v>
      </c>
      <c r="K77" s="5">
        <v>5697</v>
      </c>
      <c r="L77" s="5">
        <v>1139</v>
      </c>
      <c r="M77" s="7">
        <v>4</v>
      </c>
    </row>
    <row r="78" spans="1:13" ht="21">
      <c r="A78" s="2" t="s">
        <v>115</v>
      </c>
      <c r="B78" s="3">
        <v>46002</v>
      </c>
      <c r="C78" s="2" t="s">
        <v>35</v>
      </c>
      <c r="D78" s="2" t="s">
        <v>21</v>
      </c>
      <c r="E78" s="2" t="s">
        <v>16</v>
      </c>
      <c r="F78" s="2" t="s">
        <v>36</v>
      </c>
      <c r="G78" s="2" t="s">
        <v>33</v>
      </c>
      <c r="H78" s="4">
        <v>5</v>
      </c>
      <c r="I78" s="5">
        <v>1499</v>
      </c>
      <c r="J78" s="6">
        <v>0.05</v>
      </c>
      <c r="K78" s="5">
        <v>7120</v>
      </c>
      <c r="L78" s="5">
        <v>1709</v>
      </c>
      <c r="M78" s="7">
        <v>5</v>
      </c>
    </row>
    <row r="79" spans="1:13" ht="21">
      <c r="A79" s="2" t="s">
        <v>116</v>
      </c>
      <c r="B79" s="3">
        <v>45860</v>
      </c>
      <c r="C79" s="2" t="s">
        <v>38</v>
      </c>
      <c r="D79" s="2" t="s">
        <v>27</v>
      </c>
      <c r="E79" s="2" t="s">
        <v>22</v>
      </c>
      <c r="F79" s="2" t="s">
        <v>39</v>
      </c>
      <c r="G79" s="2" t="s">
        <v>18</v>
      </c>
      <c r="H79" s="4">
        <v>2</v>
      </c>
      <c r="I79" s="5">
        <v>1599</v>
      </c>
      <c r="J79" s="6">
        <v>0.1</v>
      </c>
      <c r="K79" s="5">
        <v>2878</v>
      </c>
      <c r="L79" s="5">
        <v>777</v>
      </c>
      <c r="M79" s="7">
        <v>3</v>
      </c>
    </row>
    <row r="80" spans="1:13" ht="21">
      <c r="A80" s="2" t="s">
        <v>117</v>
      </c>
      <c r="B80" s="3">
        <v>45694</v>
      </c>
      <c r="C80" s="2" t="s">
        <v>41</v>
      </c>
      <c r="D80" s="2" t="s">
        <v>42</v>
      </c>
      <c r="E80" s="2" t="s">
        <v>16</v>
      </c>
      <c r="F80" s="2" t="s">
        <v>43</v>
      </c>
      <c r="G80" s="2" t="s">
        <v>29</v>
      </c>
      <c r="H80" s="4">
        <v>4</v>
      </c>
      <c r="I80" s="5">
        <v>1199</v>
      </c>
      <c r="J80" s="6">
        <v>0.15</v>
      </c>
      <c r="K80" s="5">
        <v>4077</v>
      </c>
      <c r="L80" s="5">
        <v>1060</v>
      </c>
      <c r="M80" s="7">
        <v>4</v>
      </c>
    </row>
    <row r="81" spans="1:17" ht="21">
      <c r="A81" s="2" t="s">
        <v>118</v>
      </c>
      <c r="B81" s="3">
        <v>45917</v>
      </c>
      <c r="C81" s="2" t="s">
        <v>45</v>
      </c>
      <c r="D81" s="2" t="s">
        <v>21</v>
      </c>
      <c r="E81" s="2" t="s">
        <v>22</v>
      </c>
      <c r="F81" s="2" t="s">
        <v>46</v>
      </c>
      <c r="G81" s="2" t="s">
        <v>33</v>
      </c>
      <c r="H81" s="4">
        <v>1</v>
      </c>
      <c r="I81" s="5">
        <v>899</v>
      </c>
      <c r="J81" s="6">
        <v>0</v>
      </c>
      <c r="K81" s="5">
        <v>899</v>
      </c>
      <c r="L81" s="5">
        <v>198</v>
      </c>
      <c r="M81" s="7">
        <v>5</v>
      </c>
    </row>
    <row r="82" spans="1:17" ht="21">
      <c r="A82" s="2" t="s">
        <v>119</v>
      </c>
      <c r="B82" s="3">
        <v>45748</v>
      </c>
      <c r="C82" s="2" t="s">
        <v>14</v>
      </c>
      <c r="D82" s="2" t="s">
        <v>15</v>
      </c>
      <c r="E82" s="2" t="s">
        <v>16</v>
      </c>
      <c r="F82" s="2" t="s">
        <v>17</v>
      </c>
      <c r="G82" s="2" t="s">
        <v>18</v>
      </c>
      <c r="H82" s="4">
        <v>3</v>
      </c>
      <c r="I82" s="5">
        <v>599</v>
      </c>
      <c r="J82" s="6">
        <v>0.05</v>
      </c>
      <c r="K82" s="5">
        <v>1707</v>
      </c>
      <c r="L82" s="5">
        <v>332</v>
      </c>
      <c r="M82" s="7">
        <v>3</v>
      </c>
    </row>
    <row r="83" spans="1:17" ht="21">
      <c r="A83" s="2" t="s">
        <v>120</v>
      </c>
      <c r="B83" s="3">
        <v>45973</v>
      </c>
      <c r="C83" s="2" t="s">
        <v>20</v>
      </c>
      <c r="D83" s="2" t="s">
        <v>21</v>
      </c>
      <c r="E83" s="2" t="s">
        <v>22</v>
      </c>
      <c r="F83" s="2" t="s">
        <v>23</v>
      </c>
      <c r="G83" s="2" t="s">
        <v>24</v>
      </c>
      <c r="H83" s="4">
        <v>5</v>
      </c>
      <c r="I83" s="5">
        <v>349</v>
      </c>
      <c r="J83" s="6">
        <v>0.1</v>
      </c>
      <c r="K83" s="5">
        <v>1571</v>
      </c>
      <c r="L83" s="5">
        <v>503</v>
      </c>
      <c r="M83" s="7">
        <v>4</v>
      </c>
    </row>
    <row r="84" spans="1:17" ht="21">
      <c r="A84" s="2" t="s">
        <v>121</v>
      </c>
      <c r="B84" s="3">
        <v>45831</v>
      </c>
      <c r="C84" s="2" t="s">
        <v>26</v>
      </c>
      <c r="D84" s="2" t="s">
        <v>27</v>
      </c>
      <c r="E84" s="2" t="s">
        <v>16</v>
      </c>
      <c r="F84" s="2" t="s">
        <v>28</v>
      </c>
      <c r="G84" s="2" t="s">
        <v>29</v>
      </c>
      <c r="H84" s="4">
        <v>2</v>
      </c>
      <c r="I84" s="5">
        <v>1299</v>
      </c>
      <c r="J84" s="6">
        <v>0.15</v>
      </c>
      <c r="K84" s="5">
        <v>2208</v>
      </c>
      <c r="L84" s="5">
        <v>618</v>
      </c>
      <c r="M84" s="7">
        <v>5</v>
      </c>
    </row>
    <row r="85" spans="1:17" ht="21">
      <c r="A85" s="2" t="s">
        <v>122</v>
      </c>
      <c r="B85" s="3">
        <v>45664</v>
      </c>
      <c r="C85" s="2" t="s">
        <v>31</v>
      </c>
      <c r="D85" s="2" t="s">
        <v>15</v>
      </c>
      <c r="E85" s="2" t="s">
        <v>22</v>
      </c>
      <c r="F85" s="2" t="s">
        <v>32</v>
      </c>
      <c r="G85" s="2" t="s">
        <v>33</v>
      </c>
      <c r="H85" s="4">
        <v>4</v>
      </c>
      <c r="I85" s="5">
        <v>1899</v>
      </c>
      <c r="J85" s="6">
        <v>0</v>
      </c>
      <c r="K85" s="5">
        <v>7596</v>
      </c>
      <c r="L85" s="5">
        <v>1519</v>
      </c>
      <c r="M85" s="7">
        <v>3</v>
      </c>
    </row>
    <row r="86" spans="1:17" ht="21">
      <c r="A86" s="2" t="s">
        <v>123</v>
      </c>
      <c r="B86" s="3">
        <v>45887</v>
      </c>
      <c r="C86" s="2" t="s">
        <v>35</v>
      </c>
      <c r="D86" s="2" t="s">
        <v>21</v>
      </c>
      <c r="E86" s="2" t="s">
        <v>16</v>
      </c>
      <c r="F86" s="2" t="s">
        <v>36</v>
      </c>
      <c r="G86" s="2" t="s">
        <v>33</v>
      </c>
      <c r="H86" s="4">
        <v>1</v>
      </c>
      <c r="I86" s="5">
        <v>1499</v>
      </c>
      <c r="J86" s="6">
        <v>0.05</v>
      </c>
      <c r="K86" s="5">
        <v>1424</v>
      </c>
      <c r="L86" s="5">
        <v>342</v>
      </c>
      <c r="M86" s="7">
        <v>4</v>
      </c>
    </row>
    <row r="87" spans="1:17" ht="21">
      <c r="A87" s="2" t="s">
        <v>124</v>
      </c>
      <c r="B87" s="3">
        <v>45718</v>
      </c>
      <c r="C87" s="2" t="s">
        <v>38</v>
      </c>
      <c r="D87" s="2" t="s">
        <v>27</v>
      </c>
      <c r="E87" s="2" t="s">
        <v>22</v>
      </c>
      <c r="F87" s="2" t="s">
        <v>39</v>
      </c>
      <c r="G87" s="2" t="s">
        <v>18</v>
      </c>
      <c r="H87" s="4">
        <v>3</v>
      </c>
      <c r="I87" s="5">
        <v>1599</v>
      </c>
      <c r="J87" s="6">
        <v>0.1</v>
      </c>
      <c r="K87" s="5">
        <v>4317</v>
      </c>
      <c r="L87" s="5">
        <v>1166</v>
      </c>
      <c r="M87" s="7">
        <v>5</v>
      </c>
    </row>
    <row r="88" spans="1:17" ht="21">
      <c r="A88" s="2" t="s">
        <v>125</v>
      </c>
      <c r="B88" s="3">
        <v>45943</v>
      </c>
      <c r="C88" s="2" t="s">
        <v>41</v>
      </c>
      <c r="D88" s="2" t="s">
        <v>42</v>
      </c>
      <c r="E88" s="2" t="s">
        <v>16</v>
      </c>
      <c r="F88" s="2" t="s">
        <v>43</v>
      </c>
      <c r="G88" s="2" t="s">
        <v>29</v>
      </c>
      <c r="H88" s="4">
        <v>5</v>
      </c>
      <c r="I88" s="5">
        <v>1199</v>
      </c>
      <c r="J88" s="6">
        <v>0.15</v>
      </c>
      <c r="K88" s="5">
        <v>5096</v>
      </c>
      <c r="L88" s="5">
        <v>1325</v>
      </c>
      <c r="M88" s="7">
        <v>3</v>
      </c>
    </row>
    <row r="89" spans="1:17" ht="21">
      <c r="A89" s="2" t="s">
        <v>126</v>
      </c>
      <c r="B89" s="3">
        <v>45801</v>
      </c>
      <c r="C89" s="2" t="s">
        <v>45</v>
      </c>
      <c r="D89" s="2" t="s">
        <v>21</v>
      </c>
      <c r="E89" s="2" t="s">
        <v>22</v>
      </c>
      <c r="F89" s="2" t="s">
        <v>46</v>
      </c>
      <c r="G89" s="2" t="s">
        <v>33</v>
      </c>
      <c r="H89" s="4">
        <v>2</v>
      </c>
      <c r="I89" s="5">
        <v>899</v>
      </c>
      <c r="J89" s="6">
        <v>0</v>
      </c>
      <c r="K89" s="5">
        <v>1798</v>
      </c>
      <c r="L89" s="5">
        <v>396</v>
      </c>
      <c r="M89" s="7">
        <v>4</v>
      </c>
    </row>
    <row r="90" spans="1:17" ht="21">
      <c r="A90" s="2" t="s">
        <v>127</v>
      </c>
      <c r="B90" s="3">
        <v>45999</v>
      </c>
      <c r="C90" s="2" t="s">
        <v>14</v>
      </c>
      <c r="D90" s="2" t="s">
        <v>15</v>
      </c>
      <c r="E90" s="2" t="s">
        <v>16</v>
      </c>
      <c r="F90" s="2" t="s">
        <v>17</v>
      </c>
      <c r="G90" s="2" t="s">
        <v>18</v>
      </c>
      <c r="H90" s="4">
        <v>4</v>
      </c>
      <c r="I90" s="5">
        <v>599</v>
      </c>
      <c r="J90" s="6">
        <v>0.05</v>
      </c>
      <c r="K90" s="5">
        <v>2276</v>
      </c>
      <c r="L90" s="5">
        <v>683</v>
      </c>
      <c r="M90" s="7">
        <v>5</v>
      </c>
    </row>
    <row r="91" spans="1:17" ht="21">
      <c r="A91" s="2" t="s">
        <v>128</v>
      </c>
      <c r="B91" s="3">
        <v>45857</v>
      </c>
      <c r="C91" s="2" t="s">
        <v>20</v>
      </c>
      <c r="D91" s="2" t="s">
        <v>21</v>
      </c>
      <c r="E91" s="2" t="s">
        <v>22</v>
      </c>
      <c r="F91" s="2" t="s">
        <v>23</v>
      </c>
      <c r="G91" s="2" t="s">
        <v>24</v>
      </c>
      <c r="H91" s="4">
        <v>1</v>
      </c>
      <c r="I91" s="5">
        <v>349</v>
      </c>
      <c r="J91" s="6">
        <v>0.1</v>
      </c>
      <c r="K91" s="5">
        <v>314</v>
      </c>
      <c r="L91" s="5">
        <v>-80</v>
      </c>
      <c r="M91" s="7">
        <v>3</v>
      </c>
      <c r="O91" s="8" t="s">
        <v>163</v>
      </c>
      <c r="P91" s="9">
        <f>Table1[[#Totals],[Revenue]]</f>
        <v>390033</v>
      </c>
      <c r="Q91" s="8"/>
    </row>
    <row r="92" spans="1:17" ht="21">
      <c r="A92" s="2" t="s">
        <v>129</v>
      </c>
      <c r="B92" s="3">
        <v>45691</v>
      </c>
      <c r="C92" s="2" t="s">
        <v>26</v>
      </c>
      <c r="D92" s="2" t="s">
        <v>27</v>
      </c>
      <c r="E92" s="2" t="s">
        <v>16</v>
      </c>
      <c r="F92" s="2" t="s">
        <v>28</v>
      </c>
      <c r="G92" s="2" t="s">
        <v>29</v>
      </c>
      <c r="H92" s="4">
        <v>3</v>
      </c>
      <c r="I92" s="5">
        <v>1299</v>
      </c>
      <c r="J92" s="6">
        <v>0.15</v>
      </c>
      <c r="K92" s="5">
        <v>3312</v>
      </c>
      <c r="L92" s="5">
        <v>927</v>
      </c>
      <c r="M92" s="7">
        <v>4</v>
      </c>
      <c r="O92" s="8"/>
      <c r="P92" s="8"/>
      <c r="Q92" s="8"/>
    </row>
    <row r="93" spans="1:17" ht="21">
      <c r="A93" s="2" t="s">
        <v>130</v>
      </c>
      <c r="B93" s="3">
        <v>45914</v>
      </c>
      <c r="C93" s="2" t="s">
        <v>31</v>
      </c>
      <c r="D93" s="2" t="s">
        <v>15</v>
      </c>
      <c r="E93" s="2" t="s">
        <v>22</v>
      </c>
      <c r="F93" s="2" t="s">
        <v>32</v>
      </c>
      <c r="G93" s="2" t="s">
        <v>33</v>
      </c>
      <c r="H93" s="4">
        <v>5</v>
      </c>
      <c r="I93" s="5">
        <v>1899</v>
      </c>
      <c r="J93" s="6">
        <v>0</v>
      </c>
      <c r="K93" s="5">
        <v>9495</v>
      </c>
      <c r="L93" s="5">
        <v>1899</v>
      </c>
      <c r="M93" s="7">
        <v>5</v>
      </c>
      <c r="O93" s="8" t="s">
        <v>161</v>
      </c>
      <c r="P93" s="9">
        <f>Table1[[#Totals],[Profit]]</f>
        <v>94560</v>
      </c>
      <c r="Q93" s="8"/>
    </row>
    <row r="94" spans="1:17" ht="21">
      <c r="A94" s="2" t="s">
        <v>131</v>
      </c>
      <c r="B94" s="3">
        <v>45772</v>
      </c>
      <c r="C94" s="2" t="s">
        <v>35</v>
      </c>
      <c r="D94" s="2" t="s">
        <v>21</v>
      </c>
      <c r="E94" s="2" t="s">
        <v>16</v>
      </c>
      <c r="F94" s="2" t="s">
        <v>36</v>
      </c>
      <c r="G94" s="2" t="s">
        <v>33</v>
      </c>
      <c r="H94" s="4">
        <v>2</v>
      </c>
      <c r="I94" s="5">
        <v>1499</v>
      </c>
      <c r="J94" s="6">
        <v>0.05</v>
      </c>
      <c r="K94" s="5">
        <v>2848</v>
      </c>
      <c r="L94" s="5">
        <v>684</v>
      </c>
      <c r="M94" s="7">
        <v>3</v>
      </c>
      <c r="O94" s="8"/>
      <c r="P94" s="8"/>
      <c r="Q94" s="8"/>
    </row>
    <row r="95" spans="1:17" ht="21">
      <c r="A95" s="2" t="s">
        <v>132</v>
      </c>
      <c r="B95" s="3">
        <v>45970</v>
      </c>
      <c r="C95" s="2" t="s">
        <v>38</v>
      </c>
      <c r="D95" s="2" t="s">
        <v>27</v>
      </c>
      <c r="E95" s="2" t="s">
        <v>22</v>
      </c>
      <c r="F95" s="2" t="s">
        <v>39</v>
      </c>
      <c r="G95" s="2" t="s">
        <v>18</v>
      </c>
      <c r="H95" s="4">
        <v>4</v>
      </c>
      <c r="I95" s="5">
        <v>1599</v>
      </c>
      <c r="J95" s="6">
        <v>0.1</v>
      </c>
      <c r="K95" s="5">
        <v>5756</v>
      </c>
      <c r="L95" s="5">
        <v>1554</v>
      </c>
      <c r="M95" s="7">
        <v>4</v>
      </c>
      <c r="O95" s="8" t="s">
        <v>162</v>
      </c>
      <c r="P95" s="8">
        <f>Table1[[#Totals],[Order ID]]</f>
        <v>120</v>
      </c>
      <c r="Q95" s="8"/>
    </row>
    <row r="96" spans="1:17" ht="21">
      <c r="A96" s="2" t="s">
        <v>133</v>
      </c>
      <c r="B96" s="3">
        <v>45828</v>
      </c>
      <c r="C96" s="2" t="s">
        <v>41</v>
      </c>
      <c r="D96" s="2" t="s">
        <v>42</v>
      </c>
      <c r="E96" s="2" t="s">
        <v>16</v>
      </c>
      <c r="F96" s="2" t="s">
        <v>43</v>
      </c>
      <c r="G96" s="2" t="s">
        <v>29</v>
      </c>
      <c r="H96" s="4">
        <v>1</v>
      </c>
      <c r="I96" s="5">
        <v>1199</v>
      </c>
      <c r="J96" s="6">
        <v>0.15</v>
      </c>
      <c r="K96" s="5">
        <v>1019</v>
      </c>
      <c r="L96" s="5">
        <v>265</v>
      </c>
      <c r="M96" s="7">
        <v>5</v>
      </c>
      <c r="O96" s="8"/>
      <c r="P96" s="8"/>
      <c r="Q96" s="8"/>
    </row>
    <row r="97" spans="1:17" ht="21">
      <c r="A97" s="2" t="s">
        <v>134</v>
      </c>
      <c r="B97" s="3">
        <v>45661</v>
      </c>
      <c r="C97" s="2" t="s">
        <v>45</v>
      </c>
      <c r="D97" s="2" t="s">
        <v>21</v>
      </c>
      <c r="E97" s="2" t="s">
        <v>22</v>
      </c>
      <c r="F97" s="2" t="s">
        <v>46</v>
      </c>
      <c r="G97" s="2" t="s">
        <v>33</v>
      </c>
      <c r="H97" s="4">
        <v>3</v>
      </c>
      <c r="I97" s="5">
        <v>899</v>
      </c>
      <c r="J97" s="6">
        <v>0</v>
      </c>
      <c r="K97" s="5">
        <v>2697</v>
      </c>
      <c r="L97" s="5">
        <v>593</v>
      </c>
      <c r="M97" s="7">
        <v>3</v>
      </c>
      <c r="O97" s="8"/>
      <c r="P97" s="33"/>
      <c r="Q97" s="8"/>
    </row>
    <row r="98" spans="1:17" ht="21">
      <c r="A98" s="2" t="s">
        <v>135</v>
      </c>
      <c r="B98" s="3">
        <v>45884</v>
      </c>
      <c r="C98" s="2" t="s">
        <v>14</v>
      </c>
      <c r="D98" s="2" t="s">
        <v>15</v>
      </c>
      <c r="E98" s="2" t="s">
        <v>16</v>
      </c>
      <c r="F98" s="2" t="s">
        <v>17</v>
      </c>
      <c r="G98" s="2" t="s">
        <v>18</v>
      </c>
      <c r="H98" s="4">
        <v>5</v>
      </c>
      <c r="I98" s="5">
        <v>599</v>
      </c>
      <c r="J98" s="6">
        <v>0.05</v>
      </c>
      <c r="K98" s="5">
        <v>2845</v>
      </c>
      <c r="L98" s="5">
        <v>854</v>
      </c>
      <c r="M98" s="7">
        <v>4</v>
      </c>
      <c r="O98" s="8"/>
      <c r="P98" s="8"/>
      <c r="Q98" s="8"/>
    </row>
    <row r="99" spans="1:17" ht="21">
      <c r="A99" s="2" t="s">
        <v>136</v>
      </c>
      <c r="B99" s="3">
        <v>45742</v>
      </c>
      <c r="C99" s="2" t="s">
        <v>20</v>
      </c>
      <c r="D99" s="2" t="s">
        <v>21</v>
      </c>
      <c r="E99" s="2" t="s">
        <v>22</v>
      </c>
      <c r="F99" s="2" t="s">
        <v>23</v>
      </c>
      <c r="G99" s="2" t="s">
        <v>24</v>
      </c>
      <c r="H99" s="4">
        <v>2</v>
      </c>
      <c r="I99" s="5">
        <v>349</v>
      </c>
      <c r="J99" s="6">
        <v>0.1</v>
      </c>
      <c r="K99" s="5">
        <v>628</v>
      </c>
      <c r="L99" s="5">
        <v>201</v>
      </c>
      <c r="M99" s="7">
        <v>5</v>
      </c>
      <c r="O99" s="8" t="s">
        <v>164</v>
      </c>
      <c r="P99" s="8">
        <f>Table1[[#Totals],[Profit]]/Table1[[#Totals],[Revenue]]*100</f>
        <v>24.244102422102745</v>
      </c>
    </row>
    <row r="100" spans="1:17" ht="21">
      <c r="A100" s="2" t="s">
        <v>137</v>
      </c>
      <c r="B100" s="3">
        <v>45940</v>
      </c>
      <c r="C100" s="2" t="s">
        <v>26</v>
      </c>
      <c r="D100" s="2" t="s">
        <v>27</v>
      </c>
      <c r="E100" s="2" t="s">
        <v>16</v>
      </c>
      <c r="F100" s="2" t="s">
        <v>28</v>
      </c>
      <c r="G100" s="2" t="s">
        <v>29</v>
      </c>
      <c r="H100" s="4">
        <v>4</v>
      </c>
      <c r="I100" s="5">
        <v>1299</v>
      </c>
      <c r="J100" s="6">
        <v>0.15</v>
      </c>
      <c r="K100" s="5">
        <v>4417</v>
      </c>
      <c r="L100" s="5">
        <v>1057</v>
      </c>
      <c r="M100" s="7">
        <v>3</v>
      </c>
    </row>
    <row r="101" spans="1:17" ht="21">
      <c r="A101" s="2" t="s">
        <v>138</v>
      </c>
      <c r="B101" s="3">
        <v>45798</v>
      </c>
      <c r="C101" s="2" t="s">
        <v>31</v>
      </c>
      <c r="D101" s="2" t="s">
        <v>15</v>
      </c>
      <c r="E101" s="2" t="s">
        <v>22</v>
      </c>
      <c r="F101" s="2" t="s">
        <v>32</v>
      </c>
      <c r="G101" s="2" t="s">
        <v>33</v>
      </c>
      <c r="H101" s="4">
        <v>1</v>
      </c>
      <c r="I101" s="5">
        <v>1899</v>
      </c>
      <c r="J101" s="6">
        <v>0</v>
      </c>
      <c r="K101" s="5">
        <v>1899</v>
      </c>
      <c r="L101" s="5">
        <v>380</v>
      </c>
      <c r="M101" s="7">
        <v>4</v>
      </c>
    </row>
    <row r="102" spans="1:17" ht="21">
      <c r="A102" s="2" t="s">
        <v>139</v>
      </c>
      <c r="B102" s="3">
        <v>45996</v>
      </c>
      <c r="C102" s="2" t="s">
        <v>35</v>
      </c>
      <c r="D102" s="2" t="s">
        <v>21</v>
      </c>
      <c r="E102" s="2" t="s">
        <v>16</v>
      </c>
      <c r="F102" s="2" t="s">
        <v>36</v>
      </c>
      <c r="G102" s="2" t="s">
        <v>33</v>
      </c>
      <c r="H102" s="4">
        <v>3</v>
      </c>
      <c r="I102" s="5">
        <v>1499</v>
      </c>
      <c r="J102" s="6">
        <v>0.05</v>
      </c>
      <c r="K102" s="5">
        <v>4272</v>
      </c>
      <c r="L102" s="5">
        <v>1025</v>
      </c>
      <c r="M102" s="7">
        <v>5</v>
      </c>
    </row>
    <row r="103" spans="1:17" ht="21">
      <c r="A103" s="2" t="s">
        <v>140</v>
      </c>
      <c r="B103" s="3">
        <v>45854</v>
      </c>
      <c r="C103" s="2" t="s">
        <v>38</v>
      </c>
      <c r="D103" s="2" t="s">
        <v>27</v>
      </c>
      <c r="E103" s="2" t="s">
        <v>22</v>
      </c>
      <c r="F103" s="2" t="s">
        <v>39</v>
      </c>
      <c r="G103" s="2" t="s">
        <v>18</v>
      </c>
      <c r="H103" s="4">
        <v>5</v>
      </c>
      <c r="I103" s="5">
        <v>1599</v>
      </c>
      <c r="J103" s="6">
        <v>0.1</v>
      </c>
      <c r="K103" s="5">
        <v>7196</v>
      </c>
      <c r="L103" s="5">
        <v>1943</v>
      </c>
      <c r="M103" s="7">
        <v>3</v>
      </c>
    </row>
    <row r="104" spans="1:17" ht="21">
      <c r="A104" s="2" t="s">
        <v>141</v>
      </c>
      <c r="B104" s="3">
        <v>45715</v>
      </c>
      <c r="C104" s="2" t="s">
        <v>41</v>
      </c>
      <c r="D104" s="2" t="s">
        <v>42</v>
      </c>
      <c r="E104" s="2" t="s">
        <v>16</v>
      </c>
      <c r="F104" s="2" t="s">
        <v>43</v>
      </c>
      <c r="G104" s="2" t="s">
        <v>29</v>
      </c>
      <c r="H104" s="4">
        <v>2</v>
      </c>
      <c r="I104" s="5">
        <v>1199</v>
      </c>
      <c r="J104" s="6">
        <v>0.15</v>
      </c>
      <c r="K104" s="5">
        <v>2038</v>
      </c>
      <c r="L104" s="5">
        <v>530</v>
      </c>
      <c r="M104" s="7">
        <v>4</v>
      </c>
    </row>
    <row r="105" spans="1:17" ht="21">
      <c r="A105" s="2" t="s">
        <v>142</v>
      </c>
      <c r="B105" s="3">
        <v>45911</v>
      </c>
      <c r="C105" s="2" t="s">
        <v>45</v>
      </c>
      <c r="D105" s="2" t="s">
        <v>21</v>
      </c>
      <c r="E105" s="2" t="s">
        <v>22</v>
      </c>
      <c r="F105" s="2" t="s">
        <v>46</v>
      </c>
      <c r="G105" s="2" t="s">
        <v>33</v>
      </c>
      <c r="H105" s="4">
        <v>4</v>
      </c>
      <c r="I105" s="5">
        <v>899</v>
      </c>
      <c r="J105" s="6">
        <v>0</v>
      </c>
      <c r="K105" s="5">
        <v>3596</v>
      </c>
      <c r="L105" s="5">
        <v>791</v>
      </c>
      <c r="M105" s="7">
        <v>5</v>
      </c>
    </row>
    <row r="106" spans="1:17" ht="21">
      <c r="A106" s="2" t="s">
        <v>143</v>
      </c>
      <c r="B106" s="3">
        <v>45769</v>
      </c>
      <c r="C106" s="2" t="s">
        <v>14</v>
      </c>
      <c r="D106" s="2" t="s">
        <v>15</v>
      </c>
      <c r="E106" s="2" t="s">
        <v>16</v>
      </c>
      <c r="F106" s="2" t="s">
        <v>17</v>
      </c>
      <c r="G106" s="2" t="s">
        <v>18</v>
      </c>
      <c r="H106" s="4">
        <v>1</v>
      </c>
      <c r="I106" s="5">
        <v>599</v>
      </c>
      <c r="J106" s="6">
        <v>0.05</v>
      </c>
      <c r="K106" s="5">
        <v>569</v>
      </c>
      <c r="L106" s="5">
        <v>171</v>
      </c>
      <c r="M106" s="7">
        <v>3</v>
      </c>
    </row>
    <row r="107" spans="1:17" ht="21">
      <c r="A107" s="2" t="s">
        <v>144</v>
      </c>
      <c r="B107" s="3">
        <v>45967</v>
      </c>
      <c r="C107" s="2" t="s">
        <v>20</v>
      </c>
      <c r="D107" s="2" t="s">
        <v>21</v>
      </c>
      <c r="E107" s="2" t="s">
        <v>22</v>
      </c>
      <c r="F107" s="2" t="s">
        <v>23</v>
      </c>
      <c r="G107" s="2" t="s">
        <v>24</v>
      </c>
      <c r="H107" s="4">
        <v>3</v>
      </c>
      <c r="I107" s="5">
        <v>349</v>
      </c>
      <c r="J107" s="6">
        <v>0.1</v>
      </c>
      <c r="K107" s="5">
        <v>942</v>
      </c>
      <c r="L107" s="5">
        <v>301</v>
      </c>
      <c r="M107" s="7">
        <v>4</v>
      </c>
    </row>
    <row r="108" spans="1:17" ht="21">
      <c r="A108" s="2" t="s">
        <v>145</v>
      </c>
      <c r="B108" s="3">
        <v>45825</v>
      </c>
      <c r="C108" s="2" t="s">
        <v>26</v>
      </c>
      <c r="D108" s="2" t="s">
        <v>27</v>
      </c>
      <c r="E108" s="2" t="s">
        <v>16</v>
      </c>
      <c r="F108" s="2" t="s">
        <v>28</v>
      </c>
      <c r="G108" s="2" t="s">
        <v>29</v>
      </c>
      <c r="H108" s="4">
        <v>5</v>
      </c>
      <c r="I108" s="5">
        <v>1299</v>
      </c>
      <c r="J108" s="6">
        <v>0.15</v>
      </c>
      <c r="K108" s="5">
        <v>5521</v>
      </c>
      <c r="L108" s="5">
        <v>1546</v>
      </c>
      <c r="M108" s="7">
        <v>5</v>
      </c>
    </row>
    <row r="109" spans="1:17" ht="21">
      <c r="A109" s="2" t="s">
        <v>146</v>
      </c>
      <c r="B109" s="3">
        <v>45658</v>
      </c>
      <c r="C109" s="2" t="s">
        <v>31</v>
      </c>
      <c r="D109" s="2" t="s">
        <v>15</v>
      </c>
      <c r="E109" s="2" t="s">
        <v>22</v>
      </c>
      <c r="F109" s="2" t="s">
        <v>32</v>
      </c>
      <c r="G109" s="2" t="s">
        <v>33</v>
      </c>
      <c r="H109" s="4">
        <v>2</v>
      </c>
      <c r="I109" s="5">
        <v>1899</v>
      </c>
      <c r="J109" s="6">
        <v>0</v>
      </c>
      <c r="K109" s="5">
        <v>3798</v>
      </c>
      <c r="L109" s="5">
        <v>580</v>
      </c>
      <c r="M109" s="7">
        <v>3</v>
      </c>
    </row>
    <row r="110" spans="1:17" ht="21">
      <c r="A110" s="2" t="s">
        <v>147</v>
      </c>
      <c r="B110" s="3">
        <v>45881</v>
      </c>
      <c r="C110" s="2" t="s">
        <v>35</v>
      </c>
      <c r="D110" s="2" t="s">
        <v>21</v>
      </c>
      <c r="E110" s="2" t="s">
        <v>16</v>
      </c>
      <c r="F110" s="2" t="s">
        <v>36</v>
      </c>
      <c r="G110" s="2" t="s">
        <v>33</v>
      </c>
      <c r="H110" s="4">
        <v>4</v>
      </c>
      <c r="I110" s="5">
        <v>1499</v>
      </c>
      <c r="J110" s="6">
        <v>0.05</v>
      </c>
      <c r="K110" s="5">
        <v>5696</v>
      </c>
      <c r="L110" s="5">
        <v>1367</v>
      </c>
      <c r="M110" s="7">
        <v>4</v>
      </c>
    </row>
    <row r="111" spans="1:17" ht="21">
      <c r="A111" s="2" t="s">
        <v>148</v>
      </c>
      <c r="B111" s="3">
        <v>45739</v>
      </c>
      <c r="C111" s="2" t="s">
        <v>38</v>
      </c>
      <c r="D111" s="2" t="s">
        <v>27</v>
      </c>
      <c r="E111" s="2" t="s">
        <v>22</v>
      </c>
      <c r="F111" s="2" t="s">
        <v>39</v>
      </c>
      <c r="G111" s="2" t="s">
        <v>18</v>
      </c>
      <c r="H111" s="4">
        <v>1</v>
      </c>
      <c r="I111" s="5">
        <v>1599</v>
      </c>
      <c r="J111" s="6">
        <v>0.1</v>
      </c>
      <c r="K111" s="5">
        <v>1439</v>
      </c>
      <c r="L111" s="5">
        <v>389</v>
      </c>
      <c r="M111" s="7">
        <v>5</v>
      </c>
    </row>
    <row r="112" spans="1:17" ht="21">
      <c r="A112" s="2" t="s">
        <v>149</v>
      </c>
      <c r="B112" s="3">
        <v>45937</v>
      </c>
      <c r="C112" s="2" t="s">
        <v>41</v>
      </c>
      <c r="D112" s="2" t="s">
        <v>42</v>
      </c>
      <c r="E112" s="2" t="s">
        <v>16</v>
      </c>
      <c r="F112" s="2" t="s">
        <v>43</v>
      </c>
      <c r="G112" s="2" t="s">
        <v>29</v>
      </c>
      <c r="H112" s="4">
        <v>3</v>
      </c>
      <c r="I112" s="5">
        <v>1199</v>
      </c>
      <c r="J112" s="6">
        <v>0.15</v>
      </c>
      <c r="K112" s="5">
        <v>3057</v>
      </c>
      <c r="L112" s="5">
        <v>795</v>
      </c>
      <c r="M112" s="7">
        <v>3</v>
      </c>
    </row>
    <row r="113" spans="1:13" ht="21">
      <c r="A113" s="2" t="s">
        <v>150</v>
      </c>
      <c r="B113" s="3">
        <v>45795</v>
      </c>
      <c r="C113" s="2" t="s">
        <v>45</v>
      </c>
      <c r="D113" s="2" t="s">
        <v>21</v>
      </c>
      <c r="E113" s="2" t="s">
        <v>22</v>
      </c>
      <c r="F113" s="2" t="s">
        <v>46</v>
      </c>
      <c r="G113" s="2" t="s">
        <v>33</v>
      </c>
      <c r="H113" s="4">
        <v>5</v>
      </c>
      <c r="I113" s="5">
        <v>899</v>
      </c>
      <c r="J113" s="6">
        <v>0</v>
      </c>
      <c r="K113" s="5">
        <v>4495</v>
      </c>
      <c r="L113" s="5">
        <v>989</v>
      </c>
      <c r="M113" s="7">
        <v>4</v>
      </c>
    </row>
    <row r="114" spans="1:13" ht="21">
      <c r="A114" s="2" t="s">
        <v>151</v>
      </c>
      <c r="B114" s="3">
        <v>45993</v>
      </c>
      <c r="C114" s="2" t="s">
        <v>14</v>
      </c>
      <c r="D114" s="2" t="s">
        <v>15</v>
      </c>
      <c r="E114" s="2" t="s">
        <v>16</v>
      </c>
      <c r="F114" s="2" t="s">
        <v>17</v>
      </c>
      <c r="G114" s="2" t="s">
        <v>18</v>
      </c>
      <c r="H114" s="4">
        <v>2</v>
      </c>
      <c r="I114" s="5">
        <v>599</v>
      </c>
      <c r="J114" s="6">
        <v>0.05</v>
      </c>
      <c r="K114" s="5">
        <v>1138</v>
      </c>
      <c r="L114" s="5">
        <v>341</v>
      </c>
      <c r="M114" s="7">
        <v>5</v>
      </c>
    </row>
    <row r="115" spans="1:13" ht="21">
      <c r="A115" s="2" t="s">
        <v>152</v>
      </c>
      <c r="B115" s="3">
        <v>45851</v>
      </c>
      <c r="C115" s="2" t="s">
        <v>20</v>
      </c>
      <c r="D115" s="2" t="s">
        <v>21</v>
      </c>
      <c r="E115" s="2" t="s">
        <v>22</v>
      </c>
      <c r="F115" s="2" t="s">
        <v>23</v>
      </c>
      <c r="G115" s="2" t="s">
        <v>24</v>
      </c>
      <c r="H115" s="4">
        <v>4</v>
      </c>
      <c r="I115" s="5">
        <v>349</v>
      </c>
      <c r="J115" s="6">
        <v>0.1</v>
      </c>
      <c r="K115" s="5">
        <v>1256</v>
      </c>
      <c r="L115" s="5">
        <v>402</v>
      </c>
      <c r="M115" s="7">
        <v>3</v>
      </c>
    </row>
    <row r="116" spans="1:13" ht="21">
      <c r="A116" s="2" t="s">
        <v>153</v>
      </c>
      <c r="B116" s="3">
        <v>45712</v>
      </c>
      <c r="C116" s="2" t="s">
        <v>26</v>
      </c>
      <c r="D116" s="2" t="s">
        <v>27</v>
      </c>
      <c r="E116" s="2" t="s">
        <v>16</v>
      </c>
      <c r="F116" s="2" t="s">
        <v>28</v>
      </c>
      <c r="G116" s="2" t="s">
        <v>29</v>
      </c>
      <c r="H116" s="4">
        <v>1</v>
      </c>
      <c r="I116" s="5">
        <v>1299</v>
      </c>
      <c r="J116" s="6">
        <v>0.15</v>
      </c>
      <c r="K116" s="5">
        <v>1104</v>
      </c>
      <c r="L116" s="5">
        <v>309</v>
      </c>
      <c r="M116" s="7">
        <v>4</v>
      </c>
    </row>
    <row r="117" spans="1:13" ht="21">
      <c r="A117" s="2" t="s">
        <v>154</v>
      </c>
      <c r="B117" s="3">
        <v>45908</v>
      </c>
      <c r="C117" s="2" t="s">
        <v>31</v>
      </c>
      <c r="D117" s="2" t="s">
        <v>15</v>
      </c>
      <c r="E117" s="2" t="s">
        <v>22</v>
      </c>
      <c r="F117" s="2" t="s">
        <v>32</v>
      </c>
      <c r="G117" s="2" t="s">
        <v>33</v>
      </c>
      <c r="H117" s="4">
        <v>3</v>
      </c>
      <c r="I117" s="5">
        <v>1899</v>
      </c>
      <c r="J117" s="6">
        <v>0</v>
      </c>
      <c r="K117" s="5">
        <v>5697</v>
      </c>
      <c r="L117" s="5">
        <v>1139</v>
      </c>
      <c r="M117" s="7">
        <v>5</v>
      </c>
    </row>
    <row r="118" spans="1:13" ht="21">
      <c r="A118" s="2" t="s">
        <v>155</v>
      </c>
      <c r="B118" s="3">
        <v>45766</v>
      </c>
      <c r="C118" s="2" t="s">
        <v>35</v>
      </c>
      <c r="D118" s="2" t="s">
        <v>21</v>
      </c>
      <c r="E118" s="2" t="s">
        <v>16</v>
      </c>
      <c r="F118" s="2" t="s">
        <v>36</v>
      </c>
      <c r="G118" s="2" t="s">
        <v>33</v>
      </c>
      <c r="H118" s="4">
        <v>5</v>
      </c>
      <c r="I118" s="5">
        <v>1499</v>
      </c>
      <c r="J118" s="6">
        <v>0.05</v>
      </c>
      <c r="K118" s="5">
        <v>7120</v>
      </c>
      <c r="L118" s="5">
        <v>1529</v>
      </c>
      <c r="M118" s="7">
        <v>3</v>
      </c>
    </row>
    <row r="119" spans="1:13" ht="21">
      <c r="A119" s="2" t="s">
        <v>156</v>
      </c>
      <c r="B119" s="3">
        <v>45964</v>
      </c>
      <c r="C119" s="2" t="s">
        <v>38</v>
      </c>
      <c r="D119" s="2" t="s">
        <v>27</v>
      </c>
      <c r="E119" s="2" t="s">
        <v>22</v>
      </c>
      <c r="F119" s="2" t="s">
        <v>39</v>
      </c>
      <c r="G119" s="2" t="s">
        <v>18</v>
      </c>
      <c r="H119" s="4">
        <v>2</v>
      </c>
      <c r="I119" s="5">
        <v>1599</v>
      </c>
      <c r="J119" s="6">
        <v>0.1</v>
      </c>
      <c r="K119" s="5">
        <v>2878</v>
      </c>
      <c r="L119" s="5">
        <v>777</v>
      </c>
      <c r="M119" s="7">
        <v>4</v>
      </c>
    </row>
    <row r="120" spans="1:13" ht="21">
      <c r="A120" s="2" t="s">
        <v>157</v>
      </c>
      <c r="B120" s="3">
        <v>45822</v>
      </c>
      <c r="C120" s="2" t="s">
        <v>41</v>
      </c>
      <c r="D120" s="2" t="s">
        <v>42</v>
      </c>
      <c r="E120" s="2" t="s">
        <v>16</v>
      </c>
      <c r="F120" s="2" t="s">
        <v>43</v>
      </c>
      <c r="G120" s="2" t="s">
        <v>29</v>
      </c>
      <c r="H120" s="4">
        <v>4</v>
      </c>
      <c r="I120" s="5">
        <v>1199</v>
      </c>
      <c r="J120" s="6">
        <v>0.15</v>
      </c>
      <c r="K120" s="5">
        <v>4077</v>
      </c>
      <c r="L120" s="5">
        <v>1060</v>
      </c>
      <c r="M120" s="7">
        <v>5</v>
      </c>
    </row>
    <row r="121" spans="1:13" ht="21">
      <c r="A121" s="2" t="s">
        <v>158</v>
      </c>
      <c r="B121" s="3">
        <v>45682</v>
      </c>
      <c r="C121" s="2" t="s">
        <v>45</v>
      </c>
      <c r="D121" s="2" t="s">
        <v>21</v>
      </c>
      <c r="E121" s="2" t="s">
        <v>22</v>
      </c>
      <c r="F121" s="2" t="s">
        <v>46</v>
      </c>
      <c r="G121" s="2" t="s">
        <v>33</v>
      </c>
      <c r="H121" s="4">
        <v>1</v>
      </c>
      <c r="I121" s="5">
        <v>899</v>
      </c>
      <c r="J121" s="6">
        <v>0</v>
      </c>
      <c r="K121" s="5">
        <v>899</v>
      </c>
      <c r="L121" s="5">
        <v>198</v>
      </c>
      <c r="M121" s="7">
        <v>3</v>
      </c>
    </row>
    <row r="122" spans="1:13" ht="17.399999999999999">
      <c r="A122" s="8">
        <f>COUNTA(A2:A121)</f>
        <v>120</v>
      </c>
      <c r="B122" s="10"/>
      <c r="C122" s="8"/>
      <c r="D122" s="8"/>
      <c r="E122" s="8"/>
      <c r="F122" s="8"/>
      <c r="G122" s="8"/>
      <c r="H122" s="11"/>
      <c r="I122" s="9">
        <f>SUM(Table1[Unit Price])</f>
        <v>140130</v>
      </c>
      <c r="J122" s="12"/>
      <c r="K122" s="9">
        <f>SUM(K2:K121)</f>
        <v>390033</v>
      </c>
      <c r="L122" s="9">
        <f>SUM(L2:L121)</f>
        <v>94560</v>
      </c>
      <c r="M122" s="13"/>
    </row>
  </sheetData>
  <conditionalFormatting sqref="A2:M121">
    <cfRule type="expression" dxfId="0" priority="1">
      <formula>MOD(ROW(),2)=0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8CA5-328D-4BFD-92D6-6868E63328C4}">
  <dimension ref="A1:M123"/>
  <sheetViews>
    <sheetView workbookViewId="0">
      <selection activeCell="E20" sqref="E20"/>
    </sheetView>
  </sheetViews>
  <sheetFormatPr defaultRowHeight="13.8"/>
  <sheetData>
    <row r="1" spans="1:13" ht="27.6">
      <c r="A1" s="40" t="s">
        <v>2</v>
      </c>
      <c r="B1" s="40" t="s">
        <v>3</v>
      </c>
      <c r="C1" s="40" t="s">
        <v>4</v>
      </c>
      <c r="D1" s="40" t="s">
        <v>5</v>
      </c>
      <c r="E1" s="40" t="s">
        <v>6</v>
      </c>
      <c r="F1" s="40" t="s">
        <v>7</v>
      </c>
      <c r="G1" s="40" t="s">
        <v>8</v>
      </c>
      <c r="H1" s="40" t="s">
        <v>9</v>
      </c>
      <c r="I1" s="40" t="s">
        <v>10</v>
      </c>
      <c r="J1" s="40" t="s">
        <v>11</v>
      </c>
      <c r="K1" s="40" t="s">
        <v>0</v>
      </c>
      <c r="L1" s="40" t="s">
        <v>1</v>
      </c>
      <c r="M1" s="40" t="s">
        <v>12</v>
      </c>
    </row>
    <row r="2" spans="1:13" ht="14.4">
      <c r="A2" s="39" t="s">
        <v>13</v>
      </c>
      <c r="B2" s="41">
        <v>45881</v>
      </c>
      <c r="C2" s="39" t="s">
        <v>14</v>
      </c>
      <c r="D2" s="39" t="s">
        <v>15</v>
      </c>
      <c r="E2" s="39" t="s">
        <v>16</v>
      </c>
      <c r="F2" s="39" t="s">
        <v>17</v>
      </c>
      <c r="G2" s="39" t="s">
        <v>18</v>
      </c>
      <c r="H2" s="42">
        <v>3</v>
      </c>
      <c r="I2" s="43">
        <v>599</v>
      </c>
      <c r="J2" s="44">
        <v>0.05</v>
      </c>
      <c r="K2" s="43">
        <v>1707</v>
      </c>
      <c r="L2" s="43">
        <v>512</v>
      </c>
      <c r="M2" s="45">
        <v>4</v>
      </c>
    </row>
    <row r="3" spans="1:13" ht="14.4">
      <c r="A3" s="39" t="s">
        <v>19</v>
      </c>
      <c r="B3" s="41">
        <v>45739</v>
      </c>
      <c r="C3" s="39" t="s">
        <v>20</v>
      </c>
      <c r="D3" s="39" t="s">
        <v>21</v>
      </c>
      <c r="E3" s="39" t="s">
        <v>22</v>
      </c>
      <c r="F3" s="39" t="s">
        <v>23</v>
      </c>
      <c r="G3" s="39" t="s">
        <v>24</v>
      </c>
      <c r="H3" s="42">
        <v>5</v>
      </c>
      <c r="I3" s="43">
        <v>349</v>
      </c>
      <c r="J3" s="44">
        <v>0.1</v>
      </c>
      <c r="K3" s="43">
        <v>1571</v>
      </c>
      <c r="L3" s="43">
        <v>503</v>
      </c>
      <c r="M3" s="45">
        <v>5</v>
      </c>
    </row>
    <row r="4" spans="1:13" ht="14.4">
      <c r="A4" s="39" t="s">
        <v>25</v>
      </c>
      <c r="B4" s="41">
        <v>45937</v>
      </c>
      <c r="C4" s="39" t="s">
        <v>26</v>
      </c>
      <c r="D4" s="39" t="s">
        <v>27</v>
      </c>
      <c r="E4" s="39" t="s">
        <v>16</v>
      </c>
      <c r="F4" s="39" t="s">
        <v>28</v>
      </c>
      <c r="G4" s="39" t="s">
        <v>29</v>
      </c>
      <c r="H4" s="42">
        <v>2</v>
      </c>
      <c r="I4" s="43">
        <v>1299</v>
      </c>
      <c r="J4" s="44">
        <v>0.15</v>
      </c>
      <c r="K4" s="43">
        <v>2208</v>
      </c>
      <c r="L4" s="43">
        <v>618</v>
      </c>
      <c r="M4" s="45">
        <v>3</v>
      </c>
    </row>
    <row r="5" spans="1:13" ht="14.4">
      <c r="A5" s="39" t="s">
        <v>30</v>
      </c>
      <c r="B5" s="41">
        <v>45795</v>
      </c>
      <c r="C5" s="39" t="s">
        <v>31</v>
      </c>
      <c r="D5" s="39" t="s">
        <v>15</v>
      </c>
      <c r="E5" s="39" t="s">
        <v>224</v>
      </c>
      <c r="F5" s="39" t="s">
        <v>32</v>
      </c>
      <c r="G5" s="39" t="s">
        <v>33</v>
      </c>
      <c r="H5" s="42">
        <v>4</v>
      </c>
      <c r="I5" s="43">
        <v>1899</v>
      </c>
      <c r="J5" s="44">
        <v>0</v>
      </c>
      <c r="K5" s="43">
        <v>7596</v>
      </c>
      <c r="L5" s="43">
        <v>1519</v>
      </c>
      <c r="M5" s="45">
        <v>4</v>
      </c>
    </row>
    <row r="6" spans="1:13" ht="14.4">
      <c r="A6" s="39" t="s">
        <v>34</v>
      </c>
      <c r="B6" s="41">
        <v>45993</v>
      </c>
      <c r="C6" s="39" t="s">
        <v>35</v>
      </c>
      <c r="D6" s="39" t="s">
        <v>21</v>
      </c>
      <c r="E6" s="39" t="s">
        <v>225</v>
      </c>
      <c r="F6" s="39" t="s">
        <v>36</v>
      </c>
      <c r="G6" s="39" t="s">
        <v>33</v>
      </c>
      <c r="H6" s="42">
        <v>1</v>
      </c>
      <c r="I6" s="43">
        <v>1499</v>
      </c>
      <c r="J6" s="44">
        <v>0.05</v>
      </c>
      <c r="K6" s="43">
        <v>1424</v>
      </c>
      <c r="L6" s="43">
        <v>342</v>
      </c>
      <c r="M6" s="45">
        <v>5</v>
      </c>
    </row>
    <row r="7" spans="1:13" ht="14.4">
      <c r="A7" s="39" t="s">
        <v>37</v>
      </c>
      <c r="B7" s="41">
        <v>45851</v>
      </c>
      <c r="C7" s="39" t="s">
        <v>38</v>
      </c>
      <c r="D7" s="39" t="s">
        <v>27</v>
      </c>
      <c r="E7" s="39" t="s">
        <v>22</v>
      </c>
      <c r="F7" s="39" t="s">
        <v>39</v>
      </c>
      <c r="G7" s="39" t="s">
        <v>18</v>
      </c>
      <c r="H7" s="42">
        <v>3</v>
      </c>
      <c r="I7" s="43">
        <v>1599</v>
      </c>
      <c r="J7" s="44">
        <v>0.1</v>
      </c>
      <c r="K7" s="43">
        <v>4317</v>
      </c>
      <c r="L7" s="43">
        <v>1166</v>
      </c>
      <c r="M7" s="45">
        <v>3</v>
      </c>
    </row>
    <row r="8" spans="1:13" ht="14.4">
      <c r="A8" s="39" t="s">
        <v>40</v>
      </c>
      <c r="B8" s="41">
        <v>45712</v>
      </c>
      <c r="C8" s="39" t="s">
        <v>41</v>
      </c>
      <c r="D8" s="39" t="s">
        <v>42</v>
      </c>
      <c r="E8" s="39" t="s">
        <v>16</v>
      </c>
      <c r="F8" s="39" t="s">
        <v>43</v>
      </c>
      <c r="G8" s="39" t="s">
        <v>29</v>
      </c>
      <c r="H8" s="42">
        <v>5</v>
      </c>
      <c r="I8" s="43">
        <v>1199</v>
      </c>
      <c r="J8" s="44">
        <v>0.15</v>
      </c>
      <c r="K8" s="43">
        <v>5096</v>
      </c>
      <c r="L8" s="43">
        <v>1325</v>
      </c>
      <c r="M8" s="45">
        <v>4</v>
      </c>
    </row>
    <row r="9" spans="1:13" ht="14.4">
      <c r="A9" s="39" t="s">
        <v>44</v>
      </c>
      <c r="B9" s="41">
        <v>45908</v>
      </c>
      <c r="C9" s="39" t="s">
        <v>45</v>
      </c>
      <c r="D9" s="39" t="s">
        <v>21</v>
      </c>
      <c r="E9" s="39" t="s">
        <v>22</v>
      </c>
      <c r="F9" s="39" t="s">
        <v>46</v>
      </c>
      <c r="G9" s="39" t="s">
        <v>33</v>
      </c>
      <c r="H9" s="42">
        <v>2</v>
      </c>
      <c r="I9" s="43">
        <v>899</v>
      </c>
      <c r="J9" s="44">
        <v>0</v>
      </c>
      <c r="K9" s="43">
        <v>1798</v>
      </c>
      <c r="L9" s="43">
        <v>396</v>
      </c>
      <c r="M9" s="45">
        <v>5</v>
      </c>
    </row>
    <row r="10" spans="1:13" ht="14.4">
      <c r="A10" s="39" t="s">
        <v>47</v>
      </c>
      <c r="B10" s="41">
        <v>45766</v>
      </c>
      <c r="C10" s="39" t="s">
        <v>14</v>
      </c>
      <c r="D10" s="39" t="s">
        <v>15</v>
      </c>
      <c r="E10" s="39" t="s">
        <v>16</v>
      </c>
      <c r="F10" s="39" t="s">
        <v>17</v>
      </c>
      <c r="G10" s="39" t="s">
        <v>18</v>
      </c>
      <c r="H10" s="42">
        <v>4</v>
      </c>
      <c r="I10" s="43">
        <v>599</v>
      </c>
      <c r="J10" s="44">
        <v>0.05</v>
      </c>
      <c r="K10" s="43">
        <v>2276</v>
      </c>
      <c r="L10" s="43">
        <v>503</v>
      </c>
      <c r="M10" s="45">
        <v>3</v>
      </c>
    </row>
    <row r="11" spans="1:13" ht="14.4">
      <c r="A11" s="39" t="s">
        <v>48</v>
      </c>
      <c r="B11" s="41">
        <v>45964</v>
      </c>
      <c r="C11" s="39" t="s">
        <v>20</v>
      </c>
      <c r="D11" s="39" t="s">
        <v>21</v>
      </c>
      <c r="E11" s="39" t="s">
        <v>224</v>
      </c>
      <c r="F11" s="39" t="s">
        <v>23</v>
      </c>
      <c r="G11" s="39" t="s">
        <v>24</v>
      </c>
      <c r="H11" s="42">
        <v>1</v>
      </c>
      <c r="I11" s="43">
        <v>349</v>
      </c>
      <c r="J11" s="44">
        <v>0.1</v>
      </c>
      <c r="K11" s="43">
        <v>314</v>
      </c>
      <c r="L11" s="43">
        <v>100</v>
      </c>
      <c r="M11" s="45">
        <v>4</v>
      </c>
    </row>
    <row r="12" spans="1:13" ht="14.4">
      <c r="A12" s="39" t="s">
        <v>49</v>
      </c>
      <c r="B12" s="41">
        <v>45822</v>
      </c>
      <c r="C12" s="39" t="s">
        <v>26</v>
      </c>
      <c r="D12" s="39" t="s">
        <v>27</v>
      </c>
      <c r="E12" s="39" t="s">
        <v>225</v>
      </c>
      <c r="F12" s="39" t="s">
        <v>28</v>
      </c>
      <c r="G12" s="39" t="s">
        <v>29</v>
      </c>
      <c r="H12" s="42">
        <v>3</v>
      </c>
      <c r="I12" s="43">
        <v>1299</v>
      </c>
      <c r="J12" s="44">
        <v>0.15</v>
      </c>
      <c r="K12" s="43">
        <v>3312</v>
      </c>
      <c r="L12" s="43">
        <v>927</v>
      </c>
      <c r="M12" s="45">
        <v>5</v>
      </c>
    </row>
    <row r="13" spans="1:13" ht="14.4">
      <c r="A13" s="39" t="s">
        <v>50</v>
      </c>
      <c r="B13" s="41">
        <v>45682</v>
      </c>
      <c r="C13" s="39" t="s">
        <v>31</v>
      </c>
      <c r="D13" s="39" t="s">
        <v>15</v>
      </c>
      <c r="E13" s="39" t="s">
        <v>22</v>
      </c>
      <c r="F13" s="39" t="s">
        <v>32</v>
      </c>
      <c r="G13" s="39" t="s">
        <v>33</v>
      </c>
      <c r="H13" s="42">
        <v>5</v>
      </c>
      <c r="I13" s="43">
        <v>1899</v>
      </c>
      <c r="J13" s="44">
        <v>0</v>
      </c>
      <c r="K13" s="43">
        <v>9495</v>
      </c>
      <c r="L13" s="43">
        <v>1899</v>
      </c>
      <c r="M13" s="45">
        <v>3</v>
      </c>
    </row>
    <row r="14" spans="1:13" ht="14.4">
      <c r="A14" s="39" t="s">
        <v>51</v>
      </c>
      <c r="B14" s="41">
        <v>45878</v>
      </c>
      <c r="C14" s="39" t="s">
        <v>35</v>
      </c>
      <c r="D14" s="39" t="s">
        <v>21</v>
      </c>
      <c r="E14" s="39" t="s">
        <v>16</v>
      </c>
      <c r="F14" s="39" t="s">
        <v>36</v>
      </c>
      <c r="G14" s="39" t="s">
        <v>33</v>
      </c>
      <c r="H14" s="42">
        <v>2</v>
      </c>
      <c r="I14" s="43">
        <v>1499</v>
      </c>
      <c r="J14" s="44">
        <v>0.05</v>
      </c>
      <c r="K14" s="43">
        <v>2848</v>
      </c>
      <c r="L14" s="43">
        <v>684</v>
      </c>
      <c r="M14" s="45">
        <v>4</v>
      </c>
    </row>
    <row r="15" spans="1:13" ht="14.4">
      <c r="A15" s="39" t="s">
        <v>52</v>
      </c>
      <c r="B15" s="41">
        <v>45736</v>
      </c>
      <c r="C15" s="39" t="s">
        <v>38</v>
      </c>
      <c r="D15" s="39" t="s">
        <v>27</v>
      </c>
      <c r="E15" s="39" t="s">
        <v>22</v>
      </c>
      <c r="F15" s="39" t="s">
        <v>39</v>
      </c>
      <c r="G15" s="39" t="s">
        <v>18</v>
      </c>
      <c r="H15" s="42">
        <v>4</v>
      </c>
      <c r="I15" s="43">
        <v>1599</v>
      </c>
      <c r="J15" s="44">
        <v>0.1</v>
      </c>
      <c r="K15" s="43">
        <v>5756</v>
      </c>
      <c r="L15" s="43">
        <v>1554</v>
      </c>
      <c r="M15" s="45">
        <v>5</v>
      </c>
    </row>
    <row r="16" spans="1:13" ht="14.4">
      <c r="A16" s="39" t="s">
        <v>53</v>
      </c>
      <c r="B16" s="41">
        <v>45934</v>
      </c>
      <c r="C16" s="39" t="s">
        <v>41</v>
      </c>
      <c r="D16" s="39" t="s">
        <v>42</v>
      </c>
      <c r="E16" s="39" t="s">
        <v>16</v>
      </c>
      <c r="F16" s="39" t="s">
        <v>43</v>
      </c>
      <c r="G16" s="39" t="s">
        <v>29</v>
      </c>
      <c r="H16" s="42">
        <v>1</v>
      </c>
      <c r="I16" s="43">
        <v>1199</v>
      </c>
      <c r="J16" s="44">
        <v>0.15</v>
      </c>
      <c r="K16" s="43">
        <v>1019</v>
      </c>
      <c r="L16" s="43">
        <v>265</v>
      </c>
      <c r="M16" s="45">
        <v>3</v>
      </c>
    </row>
    <row r="17" spans="1:13" ht="14.4">
      <c r="A17" s="39" t="s">
        <v>54</v>
      </c>
      <c r="B17" s="41">
        <v>45792</v>
      </c>
      <c r="C17" s="39" t="s">
        <v>45</v>
      </c>
      <c r="D17" s="39" t="s">
        <v>21</v>
      </c>
      <c r="E17" s="39" t="s">
        <v>224</v>
      </c>
      <c r="F17" s="39" t="s">
        <v>46</v>
      </c>
      <c r="G17" s="39" t="s">
        <v>33</v>
      </c>
      <c r="H17" s="42">
        <v>3</v>
      </c>
      <c r="I17" s="43">
        <v>899</v>
      </c>
      <c r="J17" s="44">
        <v>0</v>
      </c>
      <c r="K17" s="43">
        <v>2697</v>
      </c>
      <c r="L17" s="43">
        <v>593</v>
      </c>
      <c r="M17" s="45">
        <v>4</v>
      </c>
    </row>
    <row r="18" spans="1:13" ht="14.4">
      <c r="A18" s="39" t="s">
        <v>55</v>
      </c>
      <c r="B18" s="41">
        <v>46017</v>
      </c>
      <c r="C18" s="39" t="s">
        <v>14</v>
      </c>
      <c r="D18" s="39" t="s">
        <v>15</v>
      </c>
      <c r="E18" s="39" t="s">
        <v>225</v>
      </c>
      <c r="F18" s="39" t="s">
        <v>17</v>
      </c>
      <c r="G18" s="39" t="s">
        <v>18</v>
      </c>
      <c r="H18" s="42">
        <v>5</v>
      </c>
      <c r="I18" s="43">
        <v>599</v>
      </c>
      <c r="J18" s="44">
        <v>0.05</v>
      </c>
      <c r="K18" s="43">
        <v>2845</v>
      </c>
      <c r="L18" s="43">
        <v>854</v>
      </c>
      <c r="M18" s="45"/>
    </row>
    <row r="19" spans="1:13" ht="14.4">
      <c r="A19" s="39" t="s">
        <v>56</v>
      </c>
      <c r="B19" s="41">
        <v>45848</v>
      </c>
      <c r="C19" s="39" t="s">
        <v>20</v>
      </c>
      <c r="D19" s="39" t="s">
        <v>21</v>
      </c>
      <c r="E19" s="39" t="s">
        <v>22</v>
      </c>
      <c r="F19" s="39" t="s">
        <v>23</v>
      </c>
      <c r="G19" s="39" t="s">
        <v>24</v>
      </c>
      <c r="H19" s="42">
        <v>2</v>
      </c>
      <c r="I19" s="43">
        <v>349</v>
      </c>
      <c r="J19" s="44">
        <v>0.1</v>
      </c>
      <c r="K19" s="43">
        <v>628</v>
      </c>
      <c r="L19" s="43">
        <v>21</v>
      </c>
      <c r="M19" s="45">
        <v>3</v>
      </c>
    </row>
    <row r="20" spans="1:13" ht="14.4">
      <c r="A20" s="39" t="s">
        <v>57</v>
      </c>
      <c r="B20" s="41">
        <v>45709</v>
      </c>
      <c r="C20" s="39" t="s">
        <v>26</v>
      </c>
      <c r="D20" s="39" t="s">
        <v>27</v>
      </c>
      <c r="E20" s="39" t="s">
        <v>16</v>
      </c>
      <c r="F20" s="39" t="s">
        <v>28</v>
      </c>
      <c r="G20" s="39" t="s">
        <v>29</v>
      </c>
      <c r="H20" s="42">
        <v>4</v>
      </c>
      <c r="I20" s="43">
        <v>1299</v>
      </c>
      <c r="J20" s="44">
        <v>0.15</v>
      </c>
      <c r="K20" s="43">
        <v>4417</v>
      </c>
      <c r="L20" s="43">
        <v>1237</v>
      </c>
      <c r="M20" s="45">
        <v>4</v>
      </c>
    </row>
    <row r="21" spans="1:13" ht="14.4">
      <c r="A21" s="39" t="s">
        <v>58</v>
      </c>
      <c r="B21" s="41">
        <v>45905</v>
      </c>
      <c r="C21" s="39" t="s">
        <v>31</v>
      </c>
      <c r="D21" s="39" t="s">
        <v>15</v>
      </c>
      <c r="E21" s="39" t="s">
        <v>22</v>
      </c>
      <c r="F21" s="39" t="s">
        <v>32</v>
      </c>
      <c r="G21" s="39" t="s">
        <v>33</v>
      </c>
      <c r="H21" s="42">
        <v>1</v>
      </c>
      <c r="I21" s="43">
        <v>1899</v>
      </c>
      <c r="J21" s="44">
        <v>0</v>
      </c>
      <c r="K21" s="43">
        <v>1899</v>
      </c>
      <c r="L21" s="43">
        <v>380</v>
      </c>
      <c r="M21" s="45">
        <v>5</v>
      </c>
    </row>
    <row r="22" spans="1:13" ht="14.4">
      <c r="A22" s="39" t="s">
        <v>59</v>
      </c>
      <c r="B22" s="41">
        <v>45763</v>
      </c>
      <c r="C22" s="39" t="s">
        <v>35</v>
      </c>
      <c r="D22" s="39" t="s">
        <v>21</v>
      </c>
      <c r="E22" s="39" t="s">
        <v>16</v>
      </c>
      <c r="F22" s="39" t="s">
        <v>36</v>
      </c>
      <c r="G22" s="39" t="s">
        <v>33</v>
      </c>
      <c r="H22" s="42">
        <v>3</v>
      </c>
      <c r="I22" s="43">
        <v>1499</v>
      </c>
      <c r="J22" s="44">
        <v>0.05</v>
      </c>
      <c r="K22" s="43">
        <v>4272</v>
      </c>
      <c r="L22" s="43">
        <v>1025</v>
      </c>
      <c r="M22" s="45">
        <v>3</v>
      </c>
    </row>
    <row r="23" spans="1:13" ht="14.4">
      <c r="A23" s="39" t="s">
        <v>60</v>
      </c>
      <c r="B23" s="41">
        <v>45988</v>
      </c>
      <c r="C23" s="39" t="s">
        <v>38</v>
      </c>
      <c r="D23" s="39" t="s">
        <v>27</v>
      </c>
      <c r="E23" s="39" t="s">
        <v>224</v>
      </c>
      <c r="F23" s="39" t="s">
        <v>39</v>
      </c>
      <c r="G23" s="39" t="s">
        <v>18</v>
      </c>
      <c r="H23" s="42">
        <v>5</v>
      </c>
      <c r="I23" s="43">
        <v>1599</v>
      </c>
      <c r="J23" s="44">
        <v>0.1</v>
      </c>
      <c r="K23" s="43">
        <v>7196</v>
      </c>
      <c r="L23" s="43">
        <v>1943</v>
      </c>
      <c r="M23" s="45">
        <v>4</v>
      </c>
    </row>
    <row r="24" spans="1:13" ht="14.4">
      <c r="A24" s="39" t="s">
        <v>61</v>
      </c>
      <c r="B24" s="41">
        <v>45819</v>
      </c>
      <c r="C24" s="39" t="s">
        <v>41</v>
      </c>
      <c r="D24" s="39" t="s">
        <v>42</v>
      </c>
      <c r="E24" s="39" t="s">
        <v>225</v>
      </c>
      <c r="F24" s="39" t="s">
        <v>43</v>
      </c>
      <c r="G24" s="39" t="s">
        <v>29</v>
      </c>
      <c r="H24" s="42">
        <v>2</v>
      </c>
      <c r="I24" s="43">
        <v>1199</v>
      </c>
      <c r="J24" s="44">
        <v>0.15</v>
      </c>
      <c r="K24" s="43">
        <v>2038</v>
      </c>
      <c r="L24" s="43">
        <v>530</v>
      </c>
      <c r="M24" s="45">
        <v>5</v>
      </c>
    </row>
    <row r="25" spans="1:13" ht="14.4">
      <c r="A25" s="39" t="s">
        <v>62</v>
      </c>
      <c r="B25" s="41">
        <v>45679</v>
      </c>
      <c r="C25" s="39" t="s">
        <v>45</v>
      </c>
      <c r="D25" s="39" t="s">
        <v>21</v>
      </c>
      <c r="E25" s="39" t="s">
        <v>22</v>
      </c>
      <c r="F25" s="39" t="s">
        <v>46</v>
      </c>
      <c r="G25" s="39" t="s">
        <v>33</v>
      </c>
      <c r="H25" s="42">
        <v>4</v>
      </c>
      <c r="I25" s="43">
        <v>899</v>
      </c>
      <c r="J25" s="44">
        <v>0</v>
      </c>
      <c r="K25" s="43">
        <v>3596</v>
      </c>
      <c r="L25" s="43">
        <v>791</v>
      </c>
      <c r="M25" s="45">
        <v>3</v>
      </c>
    </row>
    <row r="26" spans="1:13" ht="14.4">
      <c r="A26" s="39" t="s">
        <v>63</v>
      </c>
      <c r="B26" s="41">
        <v>45875</v>
      </c>
      <c r="C26" s="39" t="s">
        <v>14</v>
      </c>
      <c r="D26" s="39" t="s">
        <v>15</v>
      </c>
      <c r="E26" s="39" t="s">
        <v>16</v>
      </c>
      <c r="F26" s="39" t="s">
        <v>17</v>
      </c>
      <c r="G26" s="39" t="s">
        <v>18</v>
      </c>
      <c r="H26" s="42">
        <v>1</v>
      </c>
      <c r="I26" s="43">
        <v>599</v>
      </c>
      <c r="J26" s="44">
        <v>0.05</v>
      </c>
      <c r="K26" s="43">
        <v>569</v>
      </c>
      <c r="L26" s="43">
        <v>171</v>
      </c>
      <c r="M26" s="45">
        <v>4</v>
      </c>
    </row>
    <row r="27" spans="1:13" ht="14.4">
      <c r="A27" s="39" t="s">
        <v>64</v>
      </c>
      <c r="B27" s="41">
        <v>45733</v>
      </c>
      <c r="C27" s="39" t="s">
        <v>20</v>
      </c>
      <c r="D27" s="39" t="s">
        <v>21</v>
      </c>
      <c r="E27" s="39" t="s">
        <v>22</v>
      </c>
      <c r="F27" s="39" t="s">
        <v>23</v>
      </c>
      <c r="G27" s="39" t="s">
        <v>24</v>
      </c>
      <c r="H27" s="42">
        <v>3</v>
      </c>
      <c r="I27" s="43">
        <v>349</v>
      </c>
      <c r="J27" s="44">
        <v>0.1</v>
      </c>
      <c r="K27" s="43">
        <v>942</v>
      </c>
      <c r="L27" s="43">
        <v>301</v>
      </c>
      <c r="M27" s="45">
        <v>5</v>
      </c>
    </row>
    <row r="28" spans="1:13" ht="14.4">
      <c r="A28" s="39" t="s">
        <v>65</v>
      </c>
      <c r="B28" s="41">
        <v>45931</v>
      </c>
      <c r="C28" s="39" t="s">
        <v>26</v>
      </c>
      <c r="D28" s="39" t="s">
        <v>27</v>
      </c>
      <c r="E28" s="39" t="s">
        <v>16</v>
      </c>
      <c r="F28" s="39" t="s">
        <v>28</v>
      </c>
      <c r="G28" s="39" t="s">
        <v>29</v>
      </c>
      <c r="H28" s="42">
        <v>5</v>
      </c>
      <c r="I28" s="43">
        <v>1299</v>
      </c>
      <c r="J28" s="44">
        <v>0.15</v>
      </c>
      <c r="K28" s="43">
        <v>5521</v>
      </c>
      <c r="L28" s="43">
        <v>1366</v>
      </c>
      <c r="M28" s="45">
        <v>3</v>
      </c>
    </row>
    <row r="29" spans="1:13" ht="14.4">
      <c r="A29" s="39" t="s">
        <v>66</v>
      </c>
      <c r="B29" s="41">
        <v>45789</v>
      </c>
      <c r="C29" s="39" t="s">
        <v>31</v>
      </c>
      <c r="D29" s="39" t="s">
        <v>15</v>
      </c>
      <c r="E29" s="39" t="s">
        <v>224</v>
      </c>
      <c r="F29" s="39" t="s">
        <v>32</v>
      </c>
      <c r="G29" s="39" t="s">
        <v>33</v>
      </c>
      <c r="H29" s="42">
        <v>2</v>
      </c>
      <c r="I29" s="43">
        <v>1899</v>
      </c>
      <c r="J29" s="44">
        <v>0</v>
      </c>
      <c r="K29" s="43">
        <v>3798</v>
      </c>
      <c r="L29" s="43">
        <v>760</v>
      </c>
      <c r="M29" s="45">
        <v>4</v>
      </c>
    </row>
    <row r="30" spans="1:13" ht="14.4">
      <c r="A30" s="39" t="s">
        <v>67</v>
      </c>
      <c r="B30" s="41">
        <v>46014</v>
      </c>
      <c r="C30" s="39" t="s">
        <v>35</v>
      </c>
      <c r="D30" s="39" t="s">
        <v>21</v>
      </c>
      <c r="E30" s="39" t="s">
        <v>225</v>
      </c>
      <c r="F30" s="39" t="s">
        <v>36</v>
      </c>
      <c r="G30" s="39" t="s">
        <v>33</v>
      </c>
      <c r="H30" s="42">
        <v>4</v>
      </c>
      <c r="I30" s="43">
        <v>1499</v>
      </c>
      <c r="J30" s="44">
        <v>0.05</v>
      </c>
      <c r="K30" s="43">
        <v>5696</v>
      </c>
      <c r="L30" s="43">
        <v>1367</v>
      </c>
      <c r="M30" s="45">
        <v>5</v>
      </c>
    </row>
    <row r="31" spans="1:13" ht="14.4">
      <c r="A31" s="39" t="s">
        <v>68</v>
      </c>
      <c r="B31" s="41">
        <v>45845</v>
      </c>
      <c r="C31" s="39" t="s">
        <v>38</v>
      </c>
      <c r="D31" s="39" t="s">
        <v>27</v>
      </c>
      <c r="E31" s="39" t="s">
        <v>22</v>
      </c>
      <c r="F31" s="39" t="s">
        <v>39</v>
      </c>
      <c r="G31" s="39" t="s">
        <v>18</v>
      </c>
      <c r="H31" s="42">
        <v>1</v>
      </c>
      <c r="I31" s="43">
        <v>1599</v>
      </c>
      <c r="J31" s="44">
        <v>0.1</v>
      </c>
      <c r="K31" s="43">
        <v>1439</v>
      </c>
      <c r="L31" s="43">
        <v>389</v>
      </c>
      <c r="M31" s="45">
        <v>3</v>
      </c>
    </row>
    <row r="32" spans="1:13" ht="14.4">
      <c r="A32" s="39" t="s">
        <v>69</v>
      </c>
      <c r="B32" s="41">
        <v>45706</v>
      </c>
      <c r="C32" s="39" t="s">
        <v>41</v>
      </c>
      <c r="D32" s="39" t="s">
        <v>42</v>
      </c>
      <c r="E32" s="39" t="s">
        <v>16</v>
      </c>
      <c r="F32" s="39" t="s">
        <v>43</v>
      </c>
      <c r="G32" s="39" t="s">
        <v>29</v>
      </c>
      <c r="H32" s="42">
        <v>3</v>
      </c>
      <c r="I32" s="43">
        <v>1199</v>
      </c>
      <c r="J32" s="44">
        <v>0.15</v>
      </c>
      <c r="K32" s="43">
        <v>3057</v>
      </c>
      <c r="L32" s="43">
        <v>795</v>
      </c>
      <c r="M32" s="45">
        <v>4</v>
      </c>
    </row>
    <row r="33" spans="1:13" ht="14.4">
      <c r="A33" s="39" t="s">
        <v>70</v>
      </c>
      <c r="B33" s="41">
        <v>45902</v>
      </c>
      <c r="C33" s="39" t="s">
        <v>45</v>
      </c>
      <c r="D33" s="39" t="s">
        <v>21</v>
      </c>
      <c r="E33" s="39" t="s">
        <v>22</v>
      </c>
      <c r="F33" s="39" t="s">
        <v>46</v>
      </c>
      <c r="G33" s="39" t="s">
        <v>33</v>
      </c>
      <c r="H33" s="42">
        <v>5</v>
      </c>
      <c r="I33" s="43">
        <v>899</v>
      </c>
      <c r="J33" s="44">
        <v>0</v>
      </c>
      <c r="K33" s="43">
        <v>4495</v>
      </c>
      <c r="L33" s="43">
        <v>989</v>
      </c>
      <c r="M33" s="45">
        <v>5</v>
      </c>
    </row>
    <row r="34" spans="1:13" ht="14.4">
      <c r="A34" s="39" t="s">
        <v>71</v>
      </c>
      <c r="B34" s="41">
        <v>45760</v>
      </c>
      <c r="C34" s="39" t="s">
        <v>14</v>
      </c>
      <c r="D34" s="39" t="s">
        <v>15</v>
      </c>
      <c r="E34" s="39" t="s">
        <v>16</v>
      </c>
      <c r="F34" s="39" t="s">
        <v>17</v>
      </c>
      <c r="G34" s="39" t="s">
        <v>18</v>
      </c>
      <c r="H34" s="42">
        <v>2</v>
      </c>
      <c r="I34" s="43">
        <v>599</v>
      </c>
      <c r="J34" s="44">
        <v>0.05</v>
      </c>
      <c r="K34" s="43">
        <v>1138</v>
      </c>
      <c r="L34" s="43">
        <v>341</v>
      </c>
      <c r="M34" s="45">
        <v>3</v>
      </c>
    </row>
    <row r="35" spans="1:13" ht="14.4">
      <c r="A35" s="39" t="s">
        <v>72</v>
      </c>
      <c r="B35" s="41">
        <v>45985</v>
      </c>
      <c r="C35" s="39" t="s">
        <v>20</v>
      </c>
      <c r="D35" s="39" t="s">
        <v>21</v>
      </c>
      <c r="E35" s="39" t="s">
        <v>224</v>
      </c>
      <c r="F35" s="39" t="s">
        <v>23</v>
      </c>
      <c r="G35" s="39" t="s">
        <v>24</v>
      </c>
      <c r="H35" s="42">
        <v>4</v>
      </c>
      <c r="I35" s="43">
        <v>349</v>
      </c>
      <c r="J35" s="44">
        <v>0.1</v>
      </c>
      <c r="K35" s="43">
        <v>1256</v>
      </c>
      <c r="L35" s="43">
        <v>402</v>
      </c>
      <c r="M35" s="45">
        <v>4</v>
      </c>
    </row>
    <row r="36" spans="1:13" ht="14.4">
      <c r="A36" s="39" t="s">
        <v>73</v>
      </c>
      <c r="B36" s="41">
        <v>45816</v>
      </c>
      <c r="C36" s="39" t="s">
        <v>26</v>
      </c>
      <c r="D36" s="39" t="s">
        <v>27</v>
      </c>
      <c r="E36" s="39" t="s">
        <v>225</v>
      </c>
      <c r="F36" s="39" t="s">
        <v>28</v>
      </c>
      <c r="G36" s="39" t="s">
        <v>29</v>
      </c>
      <c r="H36" s="42">
        <v>1</v>
      </c>
      <c r="I36" s="43">
        <v>1299</v>
      </c>
      <c r="J36" s="44">
        <v>0.15</v>
      </c>
      <c r="K36" s="43">
        <v>1104</v>
      </c>
      <c r="L36" s="43">
        <v>309</v>
      </c>
      <c r="M36" s="45">
        <v>5</v>
      </c>
    </row>
    <row r="37" spans="1:13" ht="14.4">
      <c r="A37" s="39" t="s">
        <v>74</v>
      </c>
      <c r="B37" s="41">
        <v>45676</v>
      </c>
      <c r="C37" s="39" t="s">
        <v>31</v>
      </c>
      <c r="D37" s="39" t="s">
        <v>15</v>
      </c>
      <c r="E37" s="39" t="s">
        <v>22</v>
      </c>
      <c r="F37" s="39" t="s">
        <v>32</v>
      </c>
      <c r="G37" s="39" t="s">
        <v>33</v>
      </c>
      <c r="H37" s="42">
        <v>3</v>
      </c>
      <c r="I37" s="43">
        <v>1899</v>
      </c>
      <c r="J37" s="44">
        <v>0</v>
      </c>
      <c r="K37" s="43">
        <v>5697</v>
      </c>
      <c r="L37" s="43">
        <v>959</v>
      </c>
      <c r="M37" s="45">
        <v>3</v>
      </c>
    </row>
    <row r="38" spans="1:13" ht="14.4">
      <c r="A38" s="39" t="s">
        <v>75</v>
      </c>
      <c r="B38" s="41">
        <v>45872</v>
      </c>
      <c r="C38" s="39" t="s">
        <v>35</v>
      </c>
      <c r="D38" s="39" t="s">
        <v>21</v>
      </c>
      <c r="E38" s="39" t="s">
        <v>16</v>
      </c>
      <c r="F38" s="39" t="s">
        <v>36</v>
      </c>
      <c r="G38" s="39" t="s">
        <v>33</v>
      </c>
      <c r="H38" s="42">
        <v>5</v>
      </c>
      <c r="I38" s="43">
        <v>1499</v>
      </c>
      <c r="J38" s="44">
        <v>0.05</v>
      </c>
      <c r="K38" s="43">
        <v>7120</v>
      </c>
      <c r="L38" s="43">
        <v>1709</v>
      </c>
      <c r="M38" s="45">
        <v>4</v>
      </c>
    </row>
    <row r="39" spans="1:13" ht="14.4">
      <c r="A39" s="39" t="s">
        <v>76</v>
      </c>
      <c r="B39" s="41">
        <v>45730</v>
      </c>
      <c r="C39" s="39" t="s">
        <v>38</v>
      </c>
      <c r="D39" s="39" t="s">
        <v>27</v>
      </c>
      <c r="E39" s="39" t="s">
        <v>22</v>
      </c>
      <c r="F39" s="39" t="s">
        <v>39</v>
      </c>
      <c r="G39" s="39" t="s">
        <v>18</v>
      </c>
      <c r="H39" s="42">
        <v>2</v>
      </c>
      <c r="I39" s="43">
        <v>1599</v>
      </c>
      <c r="J39" s="44">
        <v>0.1</v>
      </c>
      <c r="K39" s="43">
        <v>2878</v>
      </c>
      <c r="L39" s="43">
        <v>777</v>
      </c>
      <c r="M39" s="45">
        <v>5</v>
      </c>
    </row>
    <row r="40" spans="1:13" ht="14.4">
      <c r="A40" s="39" t="s">
        <v>77</v>
      </c>
      <c r="B40" s="41">
        <v>45955</v>
      </c>
      <c r="C40" s="39" t="s">
        <v>41</v>
      </c>
      <c r="D40" s="39" t="s">
        <v>42</v>
      </c>
      <c r="E40" s="39" t="s">
        <v>16</v>
      </c>
      <c r="F40" s="39" t="s">
        <v>43</v>
      </c>
      <c r="G40" s="39" t="s">
        <v>29</v>
      </c>
      <c r="H40" s="42">
        <v>4</v>
      </c>
      <c r="I40" s="43">
        <v>1199</v>
      </c>
      <c r="J40" s="44">
        <v>0.15</v>
      </c>
      <c r="K40" s="43">
        <v>4077</v>
      </c>
      <c r="L40" s="43">
        <v>1060</v>
      </c>
      <c r="M40" s="45">
        <v>3</v>
      </c>
    </row>
    <row r="41" spans="1:13" ht="14.4">
      <c r="A41" s="39" t="s">
        <v>78</v>
      </c>
      <c r="B41" s="41">
        <v>45786</v>
      </c>
      <c r="C41" s="39" t="s">
        <v>45</v>
      </c>
      <c r="D41" s="39" t="s">
        <v>21</v>
      </c>
      <c r="E41" s="39" t="s">
        <v>224</v>
      </c>
      <c r="F41" s="39" t="s">
        <v>46</v>
      </c>
      <c r="G41" s="39" t="s">
        <v>33</v>
      </c>
      <c r="H41" s="42">
        <v>1</v>
      </c>
      <c r="I41" s="43">
        <v>899</v>
      </c>
      <c r="J41" s="44">
        <v>0</v>
      </c>
      <c r="K41" s="43">
        <v>899</v>
      </c>
      <c r="L41" s="43">
        <v>198</v>
      </c>
      <c r="M41" s="45">
        <v>4</v>
      </c>
    </row>
    <row r="42" spans="1:13" ht="14.4">
      <c r="A42" s="39" t="s">
        <v>79</v>
      </c>
      <c r="B42" s="41">
        <v>46011</v>
      </c>
      <c r="C42" s="39" t="s">
        <v>14</v>
      </c>
      <c r="D42" s="39" t="s">
        <v>15</v>
      </c>
      <c r="E42" s="39" t="s">
        <v>225</v>
      </c>
      <c r="F42" s="39" t="s">
        <v>17</v>
      </c>
      <c r="G42" s="39" t="s">
        <v>18</v>
      </c>
      <c r="H42" s="42">
        <v>3</v>
      </c>
      <c r="I42" s="43">
        <v>599</v>
      </c>
      <c r="J42" s="44">
        <v>0.05</v>
      </c>
      <c r="K42" s="43">
        <v>1707</v>
      </c>
      <c r="L42" s="43">
        <v>512</v>
      </c>
      <c r="M42" s="45">
        <v>5</v>
      </c>
    </row>
    <row r="43" spans="1:13" ht="14.4">
      <c r="A43" s="39" t="s">
        <v>80</v>
      </c>
      <c r="B43" s="41">
        <v>45842</v>
      </c>
      <c r="C43" s="39" t="s">
        <v>20</v>
      </c>
      <c r="D43" s="39" t="s">
        <v>21</v>
      </c>
      <c r="E43" s="39" t="s">
        <v>22</v>
      </c>
      <c r="F43" s="39" t="s">
        <v>23</v>
      </c>
      <c r="G43" s="39" t="s">
        <v>24</v>
      </c>
      <c r="H43" s="42">
        <v>5</v>
      </c>
      <c r="I43" s="43">
        <v>349</v>
      </c>
      <c r="J43" s="44">
        <v>0.1</v>
      </c>
      <c r="K43" s="43">
        <v>1571</v>
      </c>
      <c r="L43" s="43">
        <v>503</v>
      </c>
      <c r="M43" s="45">
        <v>3</v>
      </c>
    </row>
    <row r="44" spans="1:13" ht="14.4">
      <c r="A44" s="39" t="s">
        <v>81</v>
      </c>
      <c r="B44" s="41">
        <v>45703</v>
      </c>
      <c r="C44" s="39" t="s">
        <v>26</v>
      </c>
      <c r="D44" s="39" t="s">
        <v>27</v>
      </c>
      <c r="E44" s="39" t="s">
        <v>16</v>
      </c>
      <c r="F44" s="39" t="s">
        <v>28</v>
      </c>
      <c r="G44" s="39" t="s">
        <v>29</v>
      </c>
      <c r="H44" s="42">
        <v>2</v>
      </c>
      <c r="I44" s="43">
        <v>1299</v>
      </c>
      <c r="J44" s="44">
        <v>0.15</v>
      </c>
      <c r="K44" s="43">
        <v>2208</v>
      </c>
      <c r="L44" s="43">
        <v>618</v>
      </c>
      <c r="M44" s="45">
        <v>4</v>
      </c>
    </row>
    <row r="45" spans="1:13" ht="14.4">
      <c r="A45" s="39" t="s">
        <v>82</v>
      </c>
      <c r="B45" s="41">
        <v>45926</v>
      </c>
      <c r="C45" s="39" t="s">
        <v>31</v>
      </c>
      <c r="D45" s="39" t="s">
        <v>15</v>
      </c>
      <c r="E45" s="39" t="s">
        <v>22</v>
      </c>
      <c r="F45" s="39" t="s">
        <v>32</v>
      </c>
      <c r="G45" s="39" t="s">
        <v>33</v>
      </c>
      <c r="H45" s="42">
        <v>4</v>
      </c>
      <c r="I45" s="43">
        <v>1899</v>
      </c>
      <c r="J45" s="44">
        <v>0</v>
      </c>
      <c r="K45" s="43">
        <v>7596</v>
      </c>
      <c r="L45" s="43">
        <v>1519</v>
      </c>
      <c r="M45" s="45">
        <v>5</v>
      </c>
    </row>
    <row r="46" spans="1:13" ht="14.4">
      <c r="A46" s="39" t="s">
        <v>83</v>
      </c>
      <c r="B46" s="41">
        <v>45757</v>
      </c>
      <c r="C46" s="39" t="s">
        <v>35</v>
      </c>
      <c r="D46" s="39" t="s">
        <v>21</v>
      </c>
      <c r="E46" s="39" t="s">
        <v>16</v>
      </c>
      <c r="F46" s="39" t="s">
        <v>36</v>
      </c>
      <c r="G46" s="39" t="s">
        <v>33</v>
      </c>
      <c r="H46" s="42">
        <v>1</v>
      </c>
      <c r="I46" s="43">
        <v>1499</v>
      </c>
      <c r="J46" s="44">
        <v>0.05</v>
      </c>
      <c r="K46" s="43">
        <v>1424</v>
      </c>
      <c r="L46" s="43">
        <v>162</v>
      </c>
      <c r="M46" s="45">
        <v>3</v>
      </c>
    </row>
    <row r="47" spans="1:13" ht="14.4">
      <c r="A47" s="39" t="s">
        <v>84</v>
      </c>
      <c r="B47" s="41">
        <v>45982</v>
      </c>
      <c r="C47" s="39" t="s">
        <v>38</v>
      </c>
      <c r="D47" s="39" t="s">
        <v>27</v>
      </c>
      <c r="E47" s="39" t="s">
        <v>224</v>
      </c>
      <c r="F47" s="39" t="s">
        <v>39</v>
      </c>
      <c r="G47" s="39" t="s">
        <v>18</v>
      </c>
      <c r="H47" s="42">
        <v>3</v>
      </c>
      <c r="I47" s="43">
        <v>1599</v>
      </c>
      <c r="J47" s="44">
        <v>0.1</v>
      </c>
      <c r="K47" s="43">
        <v>4317</v>
      </c>
      <c r="L47" s="43">
        <v>1166</v>
      </c>
      <c r="M47" s="45">
        <v>4</v>
      </c>
    </row>
    <row r="48" spans="1:13" ht="14.4">
      <c r="A48" s="39" t="s">
        <v>85</v>
      </c>
      <c r="B48" s="41">
        <v>45813</v>
      </c>
      <c r="C48" s="39" t="s">
        <v>41</v>
      </c>
      <c r="D48" s="39" t="s">
        <v>42</v>
      </c>
      <c r="E48" s="39" t="s">
        <v>225</v>
      </c>
      <c r="F48" s="39" t="s">
        <v>43</v>
      </c>
      <c r="G48" s="39" t="s">
        <v>29</v>
      </c>
      <c r="H48" s="42">
        <v>5</v>
      </c>
      <c r="I48" s="43">
        <v>1199</v>
      </c>
      <c r="J48" s="44">
        <v>0.15</v>
      </c>
      <c r="K48" s="43">
        <v>5096</v>
      </c>
      <c r="L48" s="43">
        <v>1325</v>
      </c>
      <c r="M48" s="45">
        <v>5</v>
      </c>
    </row>
    <row r="49" spans="1:13" ht="14.4">
      <c r="A49" s="39" t="s">
        <v>86</v>
      </c>
      <c r="B49" s="41">
        <v>45673</v>
      </c>
      <c r="C49" s="39" t="s">
        <v>45</v>
      </c>
      <c r="D49" s="39" t="s">
        <v>21</v>
      </c>
      <c r="E49" s="39" t="s">
        <v>22</v>
      </c>
      <c r="F49" s="39" t="s">
        <v>46</v>
      </c>
      <c r="G49" s="39" t="s">
        <v>33</v>
      </c>
      <c r="H49" s="42">
        <v>2</v>
      </c>
      <c r="I49" s="43">
        <v>899</v>
      </c>
      <c r="J49" s="44">
        <v>0</v>
      </c>
      <c r="K49" s="43">
        <v>1798</v>
      </c>
      <c r="L49" s="43">
        <v>396</v>
      </c>
      <c r="M49" s="45">
        <v>3</v>
      </c>
    </row>
    <row r="50" spans="1:13" ht="14.4">
      <c r="A50" s="39" t="s">
        <v>87</v>
      </c>
      <c r="B50" s="41">
        <v>45896</v>
      </c>
      <c r="C50" s="39" t="s">
        <v>14</v>
      </c>
      <c r="D50" s="39" t="s">
        <v>15</v>
      </c>
      <c r="E50" s="39" t="s">
        <v>16</v>
      </c>
      <c r="F50" s="39" t="s">
        <v>17</v>
      </c>
      <c r="G50" s="39" t="s">
        <v>18</v>
      </c>
      <c r="H50" s="42">
        <v>4</v>
      </c>
      <c r="I50" s="43">
        <v>599</v>
      </c>
      <c r="J50" s="44">
        <v>0.05</v>
      </c>
      <c r="K50" s="43">
        <v>2276</v>
      </c>
      <c r="L50" s="43">
        <v>683</v>
      </c>
      <c r="M50" s="45">
        <v>4</v>
      </c>
    </row>
    <row r="51" spans="1:13" ht="14.4">
      <c r="A51" s="39" t="s">
        <v>88</v>
      </c>
      <c r="B51" s="41">
        <v>45727</v>
      </c>
      <c r="C51" s="39" t="s">
        <v>20</v>
      </c>
      <c r="D51" s="39" t="s">
        <v>21</v>
      </c>
      <c r="E51" s="39" t="s">
        <v>22</v>
      </c>
      <c r="F51" s="39" t="s">
        <v>23</v>
      </c>
      <c r="G51" s="39" t="s">
        <v>24</v>
      </c>
      <c r="H51" s="42">
        <v>1</v>
      </c>
      <c r="I51" s="43">
        <v>349</v>
      </c>
      <c r="J51" s="44">
        <v>0.1</v>
      </c>
      <c r="K51" s="43">
        <v>314</v>
      </c>
      <c r="L51" s="43">
        <v>100</v>
      </c>
      <c r="M51" s="45">
        <v>5</v>
      </c>
    </row>
    <row r="52" spans="1:13" ht="14.4">
      <c r="A52" s="39" t="s">
        <v>89</v>
      </c>
      <c r="B52" s="41">
        <v>45952</v>
      </c>
      <c r="C52" s="39" t="s">
        <v>26</v>
      </c>
      <c r="D52" s="39" t="s">
        <v>27</v>
      </c>
      <c r="E52" s="39" t="s">
        <v>16</v>
      </c>
      <c r="F52" s="39" t="s">
        <v>28</v>
      </c>
      <c r="G52" s="39" t="s">
        <v>29</v>
      </c>
      <c r="H52" s="42">
        <v>3</v>
      </c>
      <c r="I52" s="43">
        <v>1299</v>
      </c>
      <c r="J52" s="44">
        <v>0.15</v>
      </c>
      <c r="K52" s="43">
        <v>3312</v>
      </c>
      <c r="L52" s="43">
        <v>927</v>
      </c>
      <c r="M52" s="45">
        <v>3</v>
      </c>
    </row>
    <row r="53" spans="1:13" ht="14.4">
      <c r="A53" s="39" t="s">
        <v>90</v>
      </c>
      <c r="B53" s="41">
        <v>45783</v>
      </c>
      <c r="C53" s="39" t="s">
        <v>31</v>
      </c>
      <c r="D53" s="39" t="s">
        <v>15</v>
      </c>
      <c r="E53" s="39" t="s">
        <v>224</v>
      </c>
      <c r="F53" s="39" t="s">
        <v>32</v>
      </c>
      <c r="G53" s="39" t="s">
        <v>33</v>
      </c>
      <c r="H53" s="42">
        <v>5</v>
      </c>
      <c r="I53" s="43">
        <v>1899</v>
      </c>
      <c r="J53" s="44">
        <v>0</v>
      </c>
      <c r="K53" s="43">
        <v>9495</v>
      </c>
      <c r="L53" s="43">
        <v>1899</v>
      </c>
      <c r="M53" s="45">
        <v>4</v>
      </c>
    </row>
    <row r="54" spans="1:13" ht="14.4">
      <c r="A54" s="39" t="s">
        <v>91</v>
      </c>
      <c r="B54" s="41">
        <v>46008</v>
      </c>
      <c r="C54" s="39"/>
      <c r="D54" s="39" t="s">
        <v>21</v>
      </c>
      <c r="E54" s="39" t="s">
        <v>225</v>
      </c>
      <c r="F54" s="39" t="s">
        <v>36</v>
      </c>
      <c r="G54" s="39" t="s">
        <v>33</v>
      </c>
      <c r="H54" s="42">
        <v>2</v>
      </c>
      <c r="I54" s="43">
        <v>1499</v>
      </c>
      <c r="J54" s="44">
        <v>0.05</v>
      </c>
      <c r="K54" s="43">
        <v>2848</v>
      </c>
      <c r="L54" s="43">
        <v>684</v>
      </c>
      <c r="M54" s="45">
        <v>5</v>
      </c>
    </row>
    <row r="55" spans="1:13" ht="14.4">
      <c r="A55" s="39" t="s">
        <v>92</v>
      </c>
      <c r="B55" s="41">
        <v>45839</v>
      </c>
      <c r="C55" s="39" t="s">
        <v>38</v>
      </c>
      <c r="D55" s="39" t="s">
        <v>27</v>
      </c>
      <c r="E55" s="39" t="s">
        <v>22</v>
      </c>
      <c r="F55" s="39" t="s">
        <v>39</v>
      </c>
      <c r="G55" s="39" t="s">
        <v>18</v>
      </c>
      <c r="H55" s="42">
        <v>4</v>
      </c>
      <c r="I55" s="43">
        <v>1599</v>
      </c>
      <c r="J55" s="44">
        <v>0.1</v>
      </c>
      <c r="K55" s="43">
        <v>5756</v>
      </c>
      <c r="L55" s="43">
        <v>1374</v>
      </c>
      <c r="M55" s="45">
        <v>3</v>
      </c>
    </row>
    <row r="56" spans="1:13" ht="14.4">
      <c r="A56" s="39" t="s">
        <v>93</v>
      </c>
      <c r="B56" s="41">
        <v>45700</v>
      </c>
      <c r="C56" s="39" t="s">
        <v>41</v>
      </c>
      <c r="D56" s="39" t="s">
        <v>42</v>
      </c>
      <c r="E56" s="39" t="s">
        <v>16</v>
      </c>
      <c r="F56" s="39" t="s">
        <v>43</v>
      </c>
      <c r="G56" s="39" t="s">
        <v>29</v>
      </c>
      <c r="H56" s="42">
        <v>1</v>
      </c>
      <c r="I56" s="43">
        <v>1199</v>
      </c>
      <c r="J56" s="44">
        <v>0.15</v>
      </c>
      <c r="K56" s="43">
        <v>1019</v>
      </c>
      <c r="L56" s="43">
        <v>265</v>
      </c>
      <c r="M56" s="45">
        <v>4</v>
      </c>
    </row>
    <row r="57" spans="1:13" ht="14.4">
      <c r="A57" s="39" t="s">
        <v>94</v>
      </c>
      <c r="B57" s="41">
        <v>45923</v>
      </c>
      <c r="C57" s="39" t="s">
        <v>45</v>
      </c>
      <c r="D57" s="39" t="s">
        <v>21</v>
      </c>
      <c r="E57" s="39" t="s">
        <v>22</v>
      </c>
      <c r="F57" s="39" t="s">
        <v>46</v>
      </c>
      <c r="G57" s="39" t="s">
        <v>33</v>
      </c>
      <c r="H57" s="42">
        <v>3</v>
      </c>
      <c r="I57" s="43">
        <v>899</v>
      </c>
      <c r="J57" s="44">
        <v>0</v>
      </c>
      <c r="K57" s="43">
        <v>2697</v>
      </c>
      <c r="L57" s="43">
        <v>593</v>
      </c>
      <c r="M57" s="45">
        <v>5</v>
      </c>
    </row>
    <row r="58" spans="1:13" ht="14.4">
      <c r="A58" s="39" t="s">
        <v>95</v>
      </c>
      <c r="B58" s="41">
        <v>45754</v>
      </c>
      <c r="C58" s="39" t="s">
        <v>14</v>
      </c>
      <c r="D58" s="39" t="s">
        <v>15</v>
      </c>
      <c r="E58" s="39" t="s">
        <v>16</v>
      </c>
      <c r="F58" s="39" t="s">
        <v>17</v>
      </c>
      <c r="G58" s="39" t="s">
        <v>18</v>
      </c>
      <c r="H58" s="42">
        <v>5</v>
      </c>
      <c r="I58" s="43">
        <v>599</v>
      </c>
      <c r="J58" s="44">
        <v>0.05</v>
      </c>
      <c r="K58" s="43">
        <v>2845</v>
      </c>
      <c r="L58" s="43">
        <v>854</v>
      </c>
      <c r="M58" s="45">
        <v>3</v>
      </c>
    </row>
    <row r="59" spans="1:13" ht="14.4">
      <c r="A59" s="39" t="s">
        <v>96</v>
      </c>
      <c r="B59" s="41">
        <v>45979</v>
      </c>
      <c r="C59" s="39" t="s">
        <v>20</v>
      </c>
      <c r="D59" s="39" t="s">
        <v>21</v>
      </c>
      <c r="E59" s="39" t="s">
        <v>224</v>
      </c>
      <c r="F59" s="39" t="s">
        <v>23</v>
      </c>
      <c r="G59" s="39" t="s">
        <v>24</v>
      </c>
      <c r="H59" s="42">
        <v>2</v>
      </c>
      <c r="I59" s="43">
        <v>349</v>
      </c>
      <c r="J59" s="44">
        <v>0.1</v>
      </c>
      <c r="K59" s="43">
        <v>628</v>
      </c>
      <c r="L59" s="43">
        <v>201</v>
      </c>
      <c r="M59" s="45">
        <v>4</v>
      </c>
    </row>
    <row r="60" spans="1:13" ht="14.4">
      <c r="A60" s="39" t="s">
        <v>97</v>
      </c>
      <c r="B60" s="41">
        <v>45810</v>
      </c>
      <c r="C60" s="39" t="s">
        <v>26</v>
      </c>
      <c r="D60" s="39" t="s">
        <v>27</v>
      </c>
      <c r="E60" s="39" t="s">
        <v>225</v>
      </c>
      <c r="F60" s="39" t="s">
        <v>28</v>
      </c>
      <c r="G60" s="39" t="s">
        <v>29</v>
      </c>
      <c r="H60" s="42">
        <v>4</v>
      </c>
      <c r="I60" s="43">
        <v>1299</v>
      </c>
      <c r="J60" s="44">
        <v>0.15</v>
      </c>
      <c r="K60" s="43">
        <v>4417</v>
      </c>
      <c r="L60" s="43">
        <v>1237</v>
      </c>
      <c r="M60" s="45">
        <v>5</v>
      </c>
    </row>
    <row r="61" spans="1:13" ht="14.4">
      <c r="A61" s="39" t="s">
        <v>98</v>
      </c>
      <c r="B61" s="41">
        <v>45670</v>
      </c>
      <c r="C61" s="39" t="s">
        <v>31</v>
      </c>
      <c r="D61" s="39" t="s">
        <v>15</v>
      </c>
      <c r="E61" s="39" t="s">
        <v>22</v>
      </c>
      <c r="F61" s="39" t="s">
        <v>32</v>
      </c>
      <c r="G61" s="39" t="s">
        <v>33</v>
      </c>
      <c r="H61" s="42">
        <v>1</v>
      </c>
      <c r="I61" s="43">
        <v>1899</v>
      </c>
      <c r="J61" s="44">
        <v>0</v>
      </c>
      <c r="K61" s="43">
        <v>1899</v>
      </c>
      <c r="L61" s="43">
        <v>380</v>
      </c>
      <c r="M61" s="45">
        <v>3</v>
      </c>
    </row>
    <row r="62" spans="1:13" ht="14.4">
      <c r="A62" s="39" t="s">
        <v>99</v>
      </c>
      <c r="B62" s="41">
        <v>45893</v>
      </c>
      <c r="C62" s="39" t="s">
        <v>35</v>
      </c>
      <c r="D62" s="39" t="s">
        <v>21</v>
      </c>
      <c r="E62" s="39" t="s">
        <v>16</v>
      </c>
      <c r="F62" s="39" t="s">
        <v>36</v>
      </c>
      <c r="G62" s="39" t="s">
        <v>33</v>
      </c>
      <c r="H62" s="42">
        <v>3</v>
      </c>
      <c r="I62" s="43">
        <v>1499</v>
      </c>
      <c r="J62" s="44">
        <v>0.05</v>
      </c>
      <c r="K62" s="43">
        <v>4272</v>
      </c>
      <c r="L62" s="43">
        <v>1025</v>
      </c>
      <c r="M62" s="45">
        <v>4</v>
      </c>
    </row>
    <row r="63" spans="1:13" ht="14.4">
      <c r="A63" s="39" t="s">
        <v>100</v>
      </c>
      <c r="B63" s="41">
        <v>45724</v>
      </c>
      <c r="C63" s="39" t="s">
        <v>38</v>
      </c>
      <c r="D63" s="39" t="s">
        <v>27</v>
      </c>
      <c r="E63" s="39" t="s">
        <v>22</v>
      </c>
      <c r="F63" s="39" t="s">
        <v>39</v>
      </c>
      <c r="G63" s="39" t="s">
        <v>18</v>
      </c>
      <c r="H63" s="42">
        <v>5</v>
      </c>
      <c r="I63" s="43">
        <v>1599</v>
      </c>
      <c r="J63" s="44">
        <v>0.1</v>
      </c>
      <c r="K63" s="43">
        <v>7196</v>
      </c>
      <c r="L63" s="43">
        <v>1943</v>
      </c>
      <c r="M63" s="45">
        <v>5</v>
      </c>
    </row>
    <row r="64" spans="1:13" ht="14.4">
      <c r="A64" s="39" t="s">
        <v>101</v>
      </c>
      <c r="B64" s="41">
        <v>45949</v>
      </c>
      <c r="C64" s="39" t="s">
        <v>41</v>
      </c>
      <c r="D64" s="39" t="s">
        <v>42</v>
      </c>
      <c r="E64" s="39" t="s">
        <v>16</v>
      </c>
      <c r="F64" s="39" t="s">
        <v>43</v>
      </c>
      <c r="G64" s="39" t="s">
        <v>29</v>
      </c>
      <c r="H64" s="42">
        <v>2</v>
      </c>
      <c r="I64" s="43">
        <v>1199</v>
      </c>
      <c r="J64" s="44">
        <v>0.15</v>
      </c>
      <c r="K64" s="43">
        <v>2038</v>
      </c>
      <c r="L64" s="43">
        <v>350</v>
      </c>
      <c r="M64" s="45">
        <v>3</v>
      </c>
    </row>
    <row r="65" spans="1:13" ht="14.4">
      <c r="A65" s="39" t="s">
        <v>102</v>
      </c>
      <c r="B65" s="41">
        <v>45780</v>
      </c>
      <c r="C65" s="39" t="s">
        <v>45</v>
      </c>
      <c r="D65" s="39" t="s">
        <v>21</v>
      </c>
      <c r="E65" s="39" t="s">
        <v>224</v>
      </c>
      <c r="F65" s="39" t="s">
        <v>46</v>
      </c>
      <c r="G65" s="39" t="s">
        <v>33</v>
      </c>
      <c r="H65" s="42">
        <v>4</v>
      </c>
      <c r="I65" s="43">
        <v>899</v>
      </c>
      <c r="J65" s="44">
        <v>0</v>
      </c>
      <c r="K65" s="43">
        <v>3596</v>
      </c>
      <c r="L65" s="43">
        <v>791</v>
      </c>
      <c r="M65" s="45">
        <v>4</v>
      </c>
    </row>
    <row r="66" spans="1:13" ht="14.4">
      <c r="A66" s="39" t="s">
        <v>103</v>
      </c>
      <c r="B66" s="41">
        <v>46005</v>
      </c>
      <c r="C66" s="39" t="s">
        <v>14</v>
      </c>
      <c r="D66" s="39" t="s">
        <v>15</v>
      </c>
      <c r="E66" s="39" t="s">
        <v>225</v>
      </c>
      <c r="F66" s="39" t="s">
        <v>17</v>
      </c>
      <c r="G66" s="39" t="s">
        <v>18</v>
      </c>
      <c r="H66" s="42">
        <v>1</v>
      </c>
      <c r="I66" s="43">
        <v>599</v>
      </c>
      <c r="J66" s="44">
        <v>0.05</v>
      </c>
      <c r="K66" s="43">
        <v>569</v>
      </c>
      <c r="L66" s="43">
        <v>171</v>
      </c>
      <c r="M66" s="45">
        <v>5</v>
      </c>
    </row>
    <row r="67" spans="1:13" ht="14.4">
      <c r="A67" s="39" t="s">
        <v>104</v>
      </c>
      <c r="B67" s="41">
        <v>45863</v>
      </c>
      <c r="C67" s="39" t="s">
        <v>20</v>
      </c>
      <c r="D67" s="39" t="s">
        <v>21</v>
      </c>
      <c r="E67" s="39" t="s">
        <v>22</v>
      </c>
      <c r="F67" s="39" t="s">
        <v>23</v>
      </c>
      <c r="G67" s="39" t="s">
        <v>24</v>
      </c>
      <c r="H67" s="42">
        <v>3</v>
      </c>
      <c r="I67" s="43">
        <v>349</v>
      </c>
      <c r="J67" s="44">
        <v>0.1</v>
      </c>
      <c r="K67" s="43">
        <v>942</v>
      </c>
      <c r="L67" s="43">
        <v>301</v>
      </c>
      <c r="M67" s="45">
        <v>3</v>
      </c>
    </row>
    <row r="68" spans="1:13" ht="14.4">
      <c r="A68" s="39" t="s">
        <v>105</v>
      </c>
      <c r="B68" s="41">
        <v>45697</v>
      </c>
      <c r="C68" s="39" t="s">
        <v>26</v>
      </c>
      <c r="D68" s="39" t="s">
        <v>27</v>
      </c>
      <c r="E68" s="39" t="s">
        <v>16</v>
      </c>
      <c r="F68" s="39" t="s">
        <v>28</v>
      </c>
      <c r="G68" s="39" t="s">
        <v>29</v>
      </c>
      <c r="H68" s="42">
        <v>5</v>
      </c>
      <c r="I68" s="43">
        <v>1299</v>
      </c>
      <c r="J68" s="44">
        <v>0.15</v>
      </c>
      <c r="K68" s="43">
        <v>5521</v>
      </c>
      <c r="L68" s="43">
        <v>1546</v>
      </c>
      <c r="M68" s="45">
        <v>4</v>
      </c>
    </row>
    <row r="69" spans="1:13" ht="14.4">
      <c r="A69" s="39" t="s">
        <v>106</v>
      </c>
      <c r="B69" s="41">
        <v>45920</v>
      </c>
      <c r="C69" s="39" t="s">
        <v>31</v>
      </c>
      <c r="D69" s="39" t="s">
        <v>15</v>
      </c>
      <c r="E69" s="39" t="s">
        <v>22</v>
      </c>
      <c r="F69" s="39" t="s">
        <v>32</v>
      </c>
      <c r="G69" s="39" t="s">
        <v>33</v>
      </c>
      <c r="H69" s="42">
        <v>2</v>
      </c>
      <c r="I69" s="43">
        <v>1899</v>
      </c>
      <c r="J69" s="44">
        <v>0</v>
      </c>
      <c r="K69" s="43">
        <v>3798</v>
      </c>
      <c r="L69" s="43">
        <v>760</v>
      </c>
      <c r="M69" s="45">
        <v>5</v>
      </c>
    </row>
    <row r="70" spans="1:13" ht="14.4">
      <c r="A70" s="39" t="s">
        <v>107</v>
      </c>
      <c r="B70" s="41">
        <v>45751</v>
      </c>
      <c r="C70" s="39" t="s">
        <v>35</v>
      </c>
      <c r="D70" s="39" t="s">
        <v>21</v>
      </c>
      <c r="E70" s="39" t="s">
        <v>16</v>
      </c>
      <c r="F70" s="39" t="s">
        <v>36</v>
      </c>
      <c r="G70" s="39" t="s">
        <v>33</v>
      </c>
      <c r="H70" s="42">
        <v>4</v>
      </c>
      <c r="I70" s="43">
        <v>1499</v>
      </c>
      <c r="J70" s="44">
        <v>0.05</v>
      </c>
      <c r="K70" s="43">
        <v>5696</v>
      </c>
      <c r="L70" s="43">
        <v>1367</v>
      </c>
      <c r="M70" s="45">
        <v>3</v>
      </c>
    </row>
    <row r="71" spans="1:13" ht="14.4">
      <c r="A71" s="39" t="s">
        <v>108</v>
      </c>
      <c r="B71" s="41">
        <v>45976</v>
      </c>
      <c r="C71" s="39" t="s">
        <v>38</v>
      </c>
      <c r="D71" s="39" t="s">
        <v>27</v>
      </c>
      <c r="E71" s="39" t="s">
        <v>224</v>
      </c>
      <c r="F71" s="39" t="s">
        <v>39</v>
      </c>
      <c r="G71" s="39" t="s">
        <v>18</v>
      </c>
      <c r="H71" s="42">
        <v>1</v>
      </c>
      <c r="I71" s="43">
        <v>1599</v>
      </c>
      <c r="J71" s="44">
        <v>0.1</v>
      </c>
      <c r="K71" s="43">
        <v>1439</v>
      </c>
      <c r="L71" s="43">
        <v>389</v>
      </c>
      <c r="M71" s="45">
        <v>4</v>
      </c>
    </row>
    <row r="72" spans="1:13" ht="14.4">
      <c r="A72" s="39" t="s">
        <v>109</v>
      </c>
      <c r="B72" s="41">
        <v>45834</v>
      </c>
      <c r="C72" s="39" t="s">
        <v>41</v>
      </c>
      <c r="D72" s="39" t="s">
        <v>42</v>
      </c>
      <c r="E72" s="39" t="s">
        <v>225</v>
      </c>
      <c r="F72" s="39" t="s">
        <v>43</v>
      </c>
      <c r="G72" s="39" t="s">
        <v>29</v>
      </c>
      <c r="H72" s="42">
        <v>3</v>
      </c>
      <c r="I72" s="43">
        <v>1199</v>
      </c>
      <c r="J72" s="44">
        <v>0.15</v>
      </c>
      <c r="K72" s="43">
        <v>3057</v>
      </c>
      <c r="L72" s="43">
        <v>795</v>
      </c>
      <c r="M72" s="45">
        <v>5</v>
      </c>
    </row>
    <row r="73" spans="1:13" ht="14.4">
      <c r="A73" s="39" t="s">
        <v>110</v>
      </c>
      <c r="B73" s="41">
        <v>45667</v>
      </c>
      <c r="C73" s="39" t="s">
        <v>45</v>
      </c>
      <c r="D73" s="39" t="s">
        <v>21</v>
      </c>
      <c r="E73" s="39" t="s">
        <v>22</v>
      </c>
      <c r="F73" s="39" t="s">
        <v>46</v>
      </c>
      <c r="G73" s="39" t="s">
        <v>33</v>
      </c>
      <c r="H73" s="42">
        <v>5</v>
      </c>
      <c r="I73" s="43">
        <v>899</v>
      </c>
      <c r="J73" s="44">
        <v>0</v>
      </c>
      <c r="K73" s="43">
        <v>4495</v>
      </c>
      <c r="L73" s="43">
        <v>809</v>
      </c>
      <c r="M73" s="45">
        <v>3</v>
      </c>
    </row>
    <row r="74" spans="1:13" ht="14.4">
      <c r="A74" s="39" t="s">
        <v>111</v>
      </c>
      <c r="B74" s="41">
        <v>45890</v>
      </c>
      <c r="C74" s="39" t="s">
        <v>14</v>
      </c>
      <c r="D74" s="39" t="s">
        <v>15</v>
      </c>
      <c r="E74" s="39" t="s">
        <v>16</v>
      </c>
      <c r="F74" s="39" t="s">
        <v>17</v>
      </c>
      <c r="G74" s="39" t="s">
        <v>18</v>
      </c>
      <c r="H74" s="42">
        <v>2</v>
      </c>
      <c r="I74" s="43">
        <v>599</v>
      </c>
      <c r="J74" s="44">
        <v>0.05</v>
      </c>
      <c r="K74" s="43">
        <v>1138</v>
      </c>
      <c r="L74" s="43">
        <v>341</v>
      </c>
      <c r="M74" s="45">
        <v>4</v>
      </c>
    </row>
    <row r="75" spans="1:13" ht="14.4">
      <c r="A75" s="39" t="s">
        <v>112</v>
      </c>
      <c r="B75" s="41">
        <v>45721</v>
      </c>
      <c r="C75" s="39" t="s">
        <v>20</v>
      </c>
      <c r="D75" s="39" t="s">
        <v>21</v>
      </c>
      <c r="E75" s="39" t="s">
        <v>22</v>
      </c>
      <c r="F75" s="39" t="s">
        <v>23</v>
      </c>
      <c r="G75" s="39" t="s">
        <v>24</v>
      </c>
      <c r="H75" s="42">
        <v>4</v>
      </c>
      <c r="I75" s="43">
        <v>349</v>
      </c>
      <c r="J75" s="44">
        <v>0.1</v>
      </c>
      <c r="K75" s="43">
        <v>1256</v>
      </c>
      <c r="L75" s="43">
        <v>402</v>
      </c>
      <c r="M75" s="45">
        <v>5</v>
      </c>
    </row>
    <row r="76" spans="1:13" ht="14.4">
      <c r="A76" s="39" t="s">
        <v>113</v>
      </c>
      <c r="B76" s="41">
        <v>45946</v>
      </c>
      <c r="C76" s="39" t="s">
        <v>26</v>
      </c>
      <c r="D76" s="39" t="s">
        <v>27</v>
      </c>
      <c r="E76" s="39" t="s">
        <v>16</v>
      </c>
      <c r="F76" s="39" t="s">
        <v>28</v>
      </c>
      <c r="G76" s="39" t="s">
        <v>29</v>
      </c>
      <c r="H76" s="42">
        <v>1</v>
      </c>
      <c r="I76" s="43">
        <v>1299</v>
      </c>
      <c r="J76" s="44">
        <v>0.15</v>
      </c>
      <c r="K76" s="43">
        <v>1104</v>
      </c>
      <c r="L76" s="43">
        <v>309</v>
      </c>
      <c r="M76" s="45">
        <v>3</v>
      </c>
    </row>
    <row r="77" spans="1:13" ht="14.4">
      <c r="A77" s="39" t="s">
        <v>114</v>
      </c>
      <c r="B77" s="41">
        <v>45804</v>
      </c>
      <c r="C77" s="39" t="s">
        <v>31</v>
      </c>
      <c r="D77" s="39" t="s">
        <v>15</v>
      </c>
      <c r="E77" s="39" t="s">
        <v>224</v>
      </c>
      <c r="F77" s="39" t="s">
        <v>32</v>
      </c>
      <c r="G77" s="39" t="s">
        <v>33</v>
      </c>
      <c r="H77" s="42">
        <v>3</v>
      </c>
      <c r="I77" s="43">
        <v>1899</v>
      </c>
      <c r="J77" s="44">
        <v>0</v>
      </c>
      <c r="K77" s="43">
        <v>5697</v>
      </c>
      <c r="L77" s="43">
        <v>1139</v>
      </c>
      <c r="M77" s="45">
        <v>4</v>
      </c>
    </row>
    <row r="78" spans="1:13" ht="14.4">
      <c r="A78" s="39" t="s">
        <v>115</v>
      </c>
      <c r="B78" s="41">
        <v>46002</v>
      </c>
      <c r="C78" s="39" t="s">
        <v>35</v>
      </c>
      <c r="D78" s="39" t="s">
        <v>21</v>
      </c>
      <c r="E78" s="39" t="s">
        <v>225</v>
      </c>
      <c r="F78" s="39" t="s">
        <v>36</v>
      </c>
      <c r="G78" s="39" t="s">
        <v>33</v>
      </c>
      <c r="H78" s="42">
        <v>5</v>
      </c>
      <c r="I78" s="43">
        <v>1499</v>
      </c>
      <c r="J78" s="44">
        <v>0.05</v>
      </c>
      <c r="K78" s="43">
        <v>7120</v>
      </c>
      <c r="L78" s="43">
        <v>1709</v>
      </c>
      <c r="M78" s="45">
        <v>5</v>
      </c>
    </row>
    <row r="79" spans="1:13" ht="14.4">
      <c r="A79" s="39" t="s">
        <v>116</v>
      </c>
      <c r="B79" s="41">
        <v>45860</v>
      </c>
      <c r="C79" s="39" t="s">
        <v>38</v>
      </c>
      <c r="D79" s="39" t="s">
        <v>27</v>
      </c>
      <c r="E79" s="39" t="s">
        <v>22</v>
      </c>
      <c r="F79" s="39" t="s">
        <v>39</v>
      </c>
      <c r="G79" s="39" t="s">
        <v>18</v>
      </c>
      <c r="H79" s="42">
        <v>2</v>
      </c>
      <c r="I79" s="43">
        <v>1599</v>
      </c>
      <c r="J79" s="44">
        <v>0.1</v>
      </c>
      <c r="K79" s="43">
        <v>2878</v>
      </c>
      <c r="L79" s="43">
        <v>777</v>
      </c>
      <c r="M79" s="45">
        <v>3</v>
      </c>
    </row>
    <row r="80" spans="1:13" ht="14.4">
      <c r="A80" s="39" t="s">
        <v>117</v>
      </c>
      <c r="B80" s="41">
        <v>45694</v>
      </c>
      <c r="C80" s="39" t="s">
        <v>41</v>
      </c>
      <c r="D80" s="39" t="s">
        <v>42</v>
      </c>
      <c r="E80" s="39" t="s">
        <v>16</v>
      </c>
      <c r="F80" s="39" t="s">
        <v>43</v>
      </c>
      <c r="G80" s="39" t="s">
        <v>29</v>
      </c>
      <c r="H80" s="42">
        <v>4</v>
      </c>
      <c r="I80" s="43">
        <v>1199</v>
      </c>
      <c r="J80" s="44">
        <v>0.15</v>
      </c>
      <c r="K80" s="43">
        <v>4077</v>
      </c>
      <c r="L80" s="43">
        <v>1060</v>
      </c>
      <c r="M80" s="45">
        <v>4</v>
      </c>
    </row>
    <row r="81" spans="1:13" ht="14.4">
      <c r="A81" s="39" t="s">
        <v>118</v>
      </c>
      <c r="B81" s="41">
        <v>45917</v>
      </c>
      <c r="C81" s="39" t="s">
        <v>45</v>
      </c>
      <c r="D81" s="39" t="s">
        <v>21</v>
      </c>
      <c r="E81" s="39" t="s">
        <v>22</v>
      </c>
      <c r="F81" s="39" t="s">
        <v>46</v>
      </c>
      <c r="G81" s="39" t="s">
        <v>33</v>
      </c>
      <c r="H81" s="42">
        <v>1</v>
      </c>
      <c r="I81" s="43">
        <v>899</v>
      </c>
      <c r="J81" s="44">
        <v>0</v>
      </c>
      <c r="K81" s="43">
        <v>899</v>
      </c>
      <c r="L81" s="43">
        <v>198</v>
      </c>
      <c r="M81" s="45">
        <v>5</v>
      </c>
    </row>
    <row r="82" spans="1:13" ht="14.4">
      <c r="A82" s="39" t="s">
        <v>119</v>
      </c>
      <c r="B82" s="41">
        <v>45748</v>
      </c>
      <c r="C82" s="39" t="s">
        <v>14</v>
      </c>
      <c r="D82" s="39" t="s">
        <v>15</v>
      </c>
      <c r="E82" s="39" t="s">
        <v>16</v>
      </c>
      <c r="F82" s="39" t="s">
        <v>17</v>
      </c>
      <c r="G82" s="39" t="s">
        <v>18</v>
      </c>
      <c r="H82" s="42">
        <v>3</v>
      </c>
      <c r="I82" s="43">
        <v>599</v>
      </c>
      <c r="J82" s="44">
        <v>0.05</v>
      </c>
      <c r="K82" s="43">
        <v>1707</v>
      </c>
      <c r="L82" s="43">
        <v>332</v>
      </c>
      <c r="M82" s="45">
        <v>3</v>
      </c>
    </row>
    <row r="83" spans="1:13" ht="14.4">
      <c r="A83" s="39" t="s">
        <v>120</v>
      </c>
      <c r="B83" s="41">
        <v>45973</v>
      </c>
      <c r="C83" s="39" t="s">
        <v>20</v>
      </c>
      <c r="D83" s="39" t="s">
        <v>21</v>
      </c>
      <c r="E83" s="39" t="s">
        <v>224</v>
      </c>
      <c r="F83" s="39" t="s">
        <v>23</v>
      </c>
      <c r="G83" s="39" t="s">
        <v>24</v>
      </c>
      <c r="H83" s="42">
        <v>5</v>
      </c>
      <c r="I83" s="43">
        <v>349</v>
      </c>
      <c r="J83" s="44">
        <v>0.1</v>
      </c>
      <c r="K83" s="43">
        <v>1571</v>
      </c>
      <c r="L83" s="43">
        <v>503</v>
      </c>
      <c r="M83" s="45">
        <v>4</v>
      </c>
    </row>
    <row r="84" spans="1:13" ht="14.4">
      <c r="A84" s="39" t="s">
        <v>121</v>
      </c>
      <c r="B84" s="41">
        <v>45831</v>
      </c>
      <c r="C84" s="39" t="s">
        <v>26</v>
      </c>
      <c r="D84" s="39" t="s">
        <v>27</v>
      </c>
      <c r="E84" s="39" t="s">
        <v>225</v>
      </c>
      <c r="F84" s="39" t="s">
        <v>28</v>
      </c>
      <c r="G84" s="39" t="s">
        <v>29</v>
      </c>
      <c r="H84" s="42">
        <v>2</v>
      </c>
      <c r="I84" s="43">
        <v>1299</v>
      </c>
      <c r="J84" s="44">
        <v>0.15</v>
      </c>
      <c r="K84" s="43">
        <v>2208</v>
      </c>
      <c r="L84" s="43">
        <v>618</v>
      </c>
      <c r="M84" s="45">
        <v>5</v>
      </c>
    </row>
    <row r="85" spans="1:13" ht="14.4">
      <c r="A85" s="39" t="s">
        <v>122</v>
      </c>
      <c r="B85" s="41">
        <v>45664</v>
      </c>
      <c r="C85" s="39" t="s">
        <v>31</v>
      </c>
      <c r="D85" s="39" t="s">
        <v>15</v>
      </c>
      <c r="E85" s="39" t="s">
        <v>22</v>
      </c>
      <c r="F85" s="39" t="s">
        <v>32</v>
      </c>
      <c r="G85" s="39" t="s">
        <v>33</v>
      </c>
      <c r="H85" s="42">
        <v>4</v>
      </c>
      <c r="I85" s="43">
        <v>1899</v>
      </c>
      <c r="J85" s="44">
        <v>0</v>
      </c>
      <c r="K85" s="43">
        <v>7596</v>
      </c>
      <c r="L85" s="43">
        <v>1519</v>
      </c>
      <c r="M85" s="45">
        <v>3</v>
      </c>
    </row>
    <row r="86" spans="1:13" ht="14.4">
      <c r="A86" s="39" t="s">
        <v>123</v>
      </c>
      <c r="B86" s="41">
        <v>45887</v>
      </c>
      <c r="C86" s="39" t="s">
        <v>35</v>
      </c>
      <c r="D86" s="39" t="s">
        <v>21</v>
      </c>
      <c r="E86" s="39" t="s">
        <v>16</v>
      </c>
      <c r="F86" s="39" t="s">
        <v>36</v>
      </c>
      <c r="G86" s="39" t="s">
        <v>33</v>
      </c>
      <c r="H86" s="42">
        <v>1</v>
      </c>
      <c r="I86" s="43">
        <v>1499</v>
      </c>
      <c r="J86" s="44">
        <v>0.05</v>
      </c>
      <c r="K86" s="43">
        <v>1424</v>
      </c>
      <c r="L86" s="43">
        <v>342</v>
      </c>
      <c r="M86" s="45">
        <v>4</v>
      </c>
    </row>
    <row r="87" spans="1:13" ht="14.4">
      <c r="A87" s="39" t="s">
        <v>124</v>
      </c>
      <c r="B87" s="41">
        <v>45718</v>
      </c>
      <c r="C87" s="39" t="s">
        <v>38</v>
      </c>
      <c r="D87" s="39" t="s">
        <v>27</v>
      </c>
      <c r="E87" s="39" t="s">
        <v>22</v>
      </c>
      <c r="F87" s="39" t="s">
        <v>39</v>
      </c>
      <c r="G87" s="39" t="s">
        <v>18</v>
      </c>
      <c r="H87" s="42">
        <v>3</v>
      </c>
      <c r="I87" s="43">
        <v>1599</v>
      </c>
      <c r="J87" s="44">
        <v>0.1</v>
      </c>
      <c r="K87" s="43">
        <v>4317</v>
      </c>
      <c r="L87" s="43">
        <v>1166</v>
      </c>
      <c r="M87" s="45">
        <v>5</v>
      </c>
    </row>
    <row r="88" spans="1:13" ht="14.4">
      <c r="A88" s="39" t="s">
        <v>125</v>
      </c>
      <c r="B88" s="41">
        <v>45943</v>
      </c>
      <c r="C88" s="39" t="s">
        <v>41</v>
      </c>
      <c r="D88" s="39" t="s">
        <v>42</v>
      </c>
      <c r="E88" s="39" t="s">
        <v>16</v>
      </c>
      <c r="F88" s="39" t="s">
        <v>43</v>
      </c>
      <c r="G88" s="39" t="s">
        <v>29</v>
      </c>
      <c r="H88" s="42">
        <v>5</v>
      </c>
      <c r="I88" s="43">
        <v>1199</v>
      </c>
      <c r="J88" s="44">
        <v>0.15</v>
      </c>
      <c r="K88" s="43">
        <v>5096</v>
      </c>
      <c r="L88" s="43">
        <v>1325</v>
      </c>
      <c r="M88" s="45">
        <v>3</v>
      </c>
    </row>
    <row r="89" spans="1:13" ht="14.4">
      <c r="A89" s="39" t="s">
        <v>126</v>
      </c>
      <c r="B89" s="41">
        <v>45801</v>
      </c>
      <c r="C89" s="39" t="s">
        <v>45</v>
      </c>
      <c r="D89" s="39" t="s">
        <v>21</v>
      </c>
      <c r="E89" s="39" t="s">
        <v>224</v>
      </c>
      <c r="F89" s="39" t="s">
        <v>46</v>
      </c>
      <c r="G89" s="39" t="s">
        <v>33</v>
      </c>
      <c r="H89" s="42">
        <v>2</v>
      </c>
      <c r="I89" s="43">
        <v>899</v>
      </c>
      <c r="J89" s="44">
        <v>0</v>
      </c>
      <c r="K89" s="43">
        <v>1798</v>
      </c>
      <c r="L89" s="43">
        <v>396</v>
      </c>
      <c r="M89" s="45">
        <v>4</v>
      </c>
    </row>
    <row r="90" spans="1:13" ht="14.4">
      <c r="A90" s="39" t="s">
        <v>127</v>
      </c>
      <c r="B90" s="41">
        <v>45999</v>
      </c>
      <c r="C90" s="39" t="s">
        <v>14</v>
      </c>
      <c r="D90" s="39" t="s">
        <v>15</v>
      </c>
      <c r="E90" s="39" t="s">
        <v>225</v>
      </c>
      <c r="F90" s="39" t="s">
        <v>17</v>
      </c>
      <c r="G90" s="39"/>
      <c r="H90" s="42">
        <v>4</v>
      </c>
      <c r="I90" s="43">
        <v>599</v>
      </c>
      <c r="J90" s="44">
        <v>0.05</v>
      </c>
      <c r="K90" s="43">
        <v>2276</v>
      </c>
      <c r="L90" s="43">
        <v>683</v>
      </c>
      <c r="M90" s="45">
        <v>5</v>
      </c>
    </row>
    <row r="91" spans="1:13" ht="14.4">
      <c r="A91" s="39" t="s">
        <v>128</v>
      </c>
      <c r="B91" s="41">
        <v>45857</v>
      </c>
      <c r="C91" s="39" t="s">
        <v>20</v>
      </c>
      <c r="D91" s="39" t="s">
        <v>21</v>
      </c>
      <c r="E91" s="39" t="s">
        <v>22</v>
      </c>
      <c r="F91" s="39" t="s">
        <v>23</v>
      </c>
      <c r="G91" s="39" t="s">
        <v>24</v>
      </c>
      <c r="H91" s="42">
        <v>1</v>
      </c>
      <c r="I91" s="43">
        <v>349</v>
      </c>
      <c r="J91" s="44">
        <v>0.1</v>
      </c>
      <c r="K91" s="43">
        <v>314</v>
      </c>
      <c r="L91" s="43">
        <v>-80</v>
      </c>
      <c r="M91" s="45">
        <v>3</v>
      </c>
    </row>
    <row r="92" spans="1:13" ht="14.4">
      <c r="A92" s="39" t="s">
        <v>129</v>
      </c>
      <c r="B92" s="41">
        <v>45691</v>
      </c>
      <c r="C92" s="39" t="s">
        <v>26</v>
      </c>
      <c r="D92" s="39" t="s">
        <v>27</v>
      </c>
      <c r="E92" s="39" t="s">
        <v>16</v>
      </c>
      <c r="F92" s="39" t="s">
        <v>28</v>
      </c>
      <c r="G92" s="39" t="s">
        <v>29</v>
      </c>
      <c r="H92" s="42">
        <v>3</v>
      </c>
      <c r="I92" s="43">
        <v>1299</v>
      </c>
      <c r="J92" s="44">
        <v>0.15</v>
      </c>
      <c r="K92" s="43">
        <v>3312</v>
      </c>
      <c r="L92" s="43">
        <v>927</v>
      </c>
      <c r="M92" s="45">
        <v>4</v>
      </c>
    </row>
    <row r="93" spans="1:13" ht="14.4">
      <c r="A93" s="39" t="s">
        <v>130</v>
      </c>
      <c r="B93" s="41">
        <v>45914</v>
      </c>
      <c r="C93" s="39" t="s">
        <v>31</v>
      </c>
      <c r="D93" s="39" t="s">
        <v>15</v>
      </c>
      <c r="E93" s="39" t="s">
        <v>22</v>
      </c>
      <c r="F93" s="39" t="s">
        <v>32</v>
      </c>
      <c r="G93" s="39" t="s">
        <v>33</v>
      </c>
      <c r="H93" s="42">
        <v>5</v>
      </c>
      <c r="I93" s="43">
        <v>1899</v>
      </c>
      <c r="J93" s="44">
        <v>0</v>
      </c>
      <c r="K93" s="43">
        <v>9495</v>
      </c>
      <c r="L93" s="43">
        <v>1899</v>
      </c>
      <c r="M93" s="45">
        <v>5</v>
      </c>
    </row>
    <row r="94" spans="1:13" ht="14.4">
      <c r="A94" s="39" t="s">
        <v>131</v>
      </c>
      <c r="B94" s="41">
        <v>45772</v>
      </c>
      <c r="C94" s="39" t="s">
        <v>35</v>
      </c>
      <c r="D94" s="39" t="s">
        <v>21</v>
      </c>
      <c r="E94" s="39" t="s">
        <v>16</v>
      </c>
      <c r="F94" s="39" t="s">
        <v>36</v>
      </c>
      <c r="G94" s="39" t="s">
        <v>33</v>
      </c>
      <c r="H94" s="42">
        <v>2</v>
      </c>
      <c r="I94" s="43">
        <v>1499</v>
      </c>
      <c r="J94" s="44">
        <v>0.05</v>
      </c>
      <c r="K94" s="43">
        <v>2848</v>
      </c>
      <c r="L94" s="43">
        <v>684</v>
      </c>
      <c r="M94" s="45">
        <v>3</v>
      </c>
    </row>
    <row r="95" spans="1:13" ht="14.4">
      <c r="A95" s="39" t="s">
        <v>132</v>
      </c>
      <c r="B95" s="41">
        <v>45970</v>
      </c>
      <c r="C95" s="39" t="s">
        <v>38</v>
      </c>
      <c r="D95" s="39" t="s">
        <v>27</v>
      </c>
      <c r="E95" s="39" t="s">
        <v>224</v>
      </c>
      <c r="F95" s="39" t="s">
        <v>39</v>
      </c>
      <c r="G95" s="39" t="s">
        <v>18</v>
      </c>
      <c r="H95" s="42">
        <v>4</v>
      </c>
      <c r="I95" s="43">
        <v>1599</v>
      </c>
      <c r="J95" s="44">
        <v>0.1</v>
      </c>
      <c r="K95" s="43">
        <v>5756</v>
      </c>
      <c r="L95" s="43">
        <v>1554</v>
      </c>
      <c r="M95" s="45">
        <v>4</v>
      </c>
    </row>
    <row r="96" spans="1:13" ht="14.4">
      <c r="A96" s="39" t="s">
        <v>133</v>
      </c>
      <c r="B96" s="41">
        <v>45828</v>
      </c>
      <c r="C96" s="39" t="s">
        <v>41</v>
      </c>
      <c r="D96" s="39" t="s">
        <v>42</v>
      </c>
      <c r="E96" s="39" t="s">
        <v>225</v>
      </c>
      <c r="F96" s="39" t="s">
        <v>43</v>
      </c>
      <c r="G96" s="39" t="s">
        <v>29</v>
      </c>
      <c r="H96" s="42">
        <v>1</v>
      </c>
      <c r="I96" s="43">
        <v>1199</v>
      </c>
      <c r="J96" s="44">
        <v>0.15</v>
      </c>
      <c r="K96" s="43">
        <v>1019</v>
      </c>
      <c r="L96" s="43">
        <v>265</v>
      </c>
      <c r="M96" s="45">
        <v>5</v>
      </c>
    </row>
    <row r="97" spans="1:13" ht="14.4">
      <c r="A97" s="39" t="s">
        <v>134</v>
      </c>
      <c r="B97" s="41">
        <v>45661</v>
      </c>
      <c r="C97" s="39" t="s">
        <v>45</v>
      </c>
      <c r="D97" s="39" t="s">
        <v>21</v>
      </c>
      <c r="E97" s="39" t="s">
        <v>22</v>
      </c>
      <c r="F97" s="39" t="s">
        <v>46</v>
      </c>
      <c r="G97" s="39" t="s">
        <v>33</v>
      </c>
      <c r="H97" s="42">
        <v>3</v>
      </c>
      <c r="I97" s="43">
        <v>899</v>
      </c>
      <c r="J97" s="44">
        <v>0</v>
      </c>
      <c r="K97" s="43">
        <v>2697</v>
      </c>
      <c r="L97" s="43">
        <v>593</v>
      </c>
      <c r="M97" s="45">
        <v>3</v>
      </c>
    </row>
    <row r="98" spans="1:13" ht="14.4">
      <c r="A98" s="39" t="s">
        <v>135</v>
      </c>
      <c r="B98" s="41">
        <v>45884</v>
      </c>
      <c r="C98" s="39" t="s">
        <v>14</v>
      </c>
      <c r="D98" s="39" t="s">
        <v>15</v>
      </c>
      <c r="E98" s="39" t="s">
        <v>16</v>
      </c>
      <c r="F98" s="39" t="s">
        <v>17</v>
      </c>
      <c r="G98" s="39" t="s">
        <v>18</v>
      </c>
      <c r="H98" s="42">
        <v>5</v>
      </c>
      <c r="I98" s="43">
        <v>599</v>
      </c>
      <c r="J98" s="44">
        <v>0.05</v>
      </c>
      <c r="K98" s="43">
        <v>2845</v>
      </c>
      <c r="L98" s="43">
        <v>854</v>
      </c>
      <c r="M98" s="45">
        <v>4</v>
      </c>
    </row>
    <row r="99" spans="1:13" ht="14.4">
      <c r="A99" s="39" t="s">
        <v>136</v>
      </c>
      <c r="B99" s="41">
        <v>45742</v>
      </c>
      <c r="C99" s="39" t="s">
        <v>20</v>
      </c>
      <c r="D99" s="39" t="s">
        <v>21</v>
      </c>
      <c r="E99" s="39" t="s">
        <v>22</v>
      </c>
      <c r="F99" s="39" t="s">
        <v>23</v>
      </c>
      <c r="G99" s="39" t="s">
        <v>24</v>
      </c>
      <c r="H99" s="42">
        <v>2</v>
      </c>
      <c r="I99" s="43">
        <v>349</v>
      </c>
      <c r="J99" s="44">
        <v>0.1</v>
      </c>
      <c r="K99" s="43">
        <v>628</v>
      </c>
      <c r="L99" s="43">
        <v>201</v>
      </c>
      <c r="M99" s="45">
        <v>5</v>
      </c>
    </row>
    <row r="100" spans="1:13" ht="14.4">
      <c r="A100" s="39" t="s">
        <v>137</v>
      </c>
      <c r="B100" s="41">
        <v>45940</v>
      </c>
      <c r="C100" s="39" t="s">
        <v>26</v>
      </c>
      <c r="D100" s="39" t="s">
        <v>27</v>
      </c>
      <c r="E100" s="39" t="s">
        <v>16</v>
      </c>
      <c r="F100" s="39" t="s">
        <v>28</v>
      </c>
      <c r="G100" s="39" t="s">
        <v>29</v>
      </c>
      <c r="H100" s="42">
        <v>4</v>
      </c>
      <c r="I100" s="43">
        <v>1299</v>
      </c>
      <c r="J100" s="44">
        <v>0.15</v>
      </c>
      <c r="K100" s="43">
        <v>4417</v>
      </c>
      <c r="L100" s="43">
        <v>1057</v>
      </c>
      <c r="M100" s="45">
        <v>3</v>
      </c>
    </row>
    <row r="101" spans="1:13" ht="14.4">
      <c r="A101" s="39" t="s">
        <v>138</v>
      </c>
      <c r="B101" s="41">
        <v>45798</v>
      </c>
      <c r="C101" s="39" t="s">
        <v>31</v>
      </c>
      <c r="D101" s="39" t="s">
        <v>15</v>
      </c>
      <c r="E101" s="39" t="s">
        <v>224</v>
      </c>
      <c r="F101" s="39" t="s">
        <v>32</v>
      </c>
      <c r="G101" s="39" t="s">
        <v>33</v>
      </c>
      <c r="H101" s="42">
        <v>1</v>
      </c>
      <c r="I101" s="43">
        <v>1899</v>
      </c>
      <c r="J101" s="44">
        <v>0</v>
      </c>
      <c r="K101" s="43">
        <v>1899</v>
      </c>
      <c r="L101" s="43">
        <v>380</v>
      </c>
      <c r="M101" s="45">
        <v>4</v>
      </c>
    </row>
    <row r="102" spans="1:13" ht="14.4">
      <c r="A102" s="39" t="s">
        <v>139</v>
      </c>
      <c r="B102" s="41">
        <v>45996</v>
      </c>
      <c r="C102" s="39" t="s">
        <v>35</v>
      </c>
      <c r="D102" s="39" t="s">
        <v>21</v>
      </c>
      <c r="E102" s="39" t="s">
        <v>225</v>
      </c>
      <c r="F102" s="39" t="s">
        <v>36</v>
      </c>
      <c r="G102" s="39" t="s">
        <v>33</v>
      </c>
      <c r="H102" s="42">
        <v>3</v>
      </c>
      <c r="I102" s="43">
        <v>1499</v>
      </c>
      <c r="J102" s="44">
        <v>0.05</v>
      </c>
      <c r="K102" s="43">
        <v>4272</v>
      </c>
      <c r="L102" s="43">
        <v>1025</v>
      </c>
      <c r="M102" s="45">
        <v>5</v>
      </c>
    </row>
    <row r="103" spans="1:13" ht="14.4">
      <c r="A103" s="39" t="s">
        <v>140</v>
      </c>
      <c r="B103" s="41">
        <v>45854</v>
      </c>
      <c r="C103" s="39" t="s">
        <v>38</v>
      </c>
      <c r="D103" s="39" t="s">
        <v>27</v>
      </c>
      <c r="E103" s="39" t="s">
        <v>22</v>
      </c>
      <c r="F103" s="39" t="s">
        <v>39</v>
      </c>
      <c r="G103" s="39" t="s">
        <v>18</v>
      </c>
      <c r="H103" s="42">
        <v>5</v>
      </c>
      <c r="I103" s="43">
        <v>1599</v>
      </c>
      <c r="J103" s="44">
        <v>0.1</v>
      </c>
      <c r="K103" s="43">
        <v>7196</v>
      </c>
      <c r="L103" s="43">
        <v>1943</v>
      </c>
      <c r="M103" s="45">
        <v>3</v>
      </c>
    </row>
    <row r="104" spans="1:13" ht="14.4">
      <c r="A104" s="39" t="s">
        <v>141</v>
      </c>
      <c r="B104" s="41">
        <v>45715</v>
      </c>
      <c r="C104" s="39" t="s">
        <v>41</v>
      </c>
      <c r="D104" s="39" t="s">
        <v>42</v>
      </c>
      <c r="E104" s="39" t="s">
        <v>16</v>
      </c>
      <c r="F104" s="39" t="s">
        <v>43</v>
      </c>
      <c r="G104" s="39" t="s">
        <v>29</v>
      </c>
      <c r="H104" s="42">
        <v>2</v>
      </c>
      <c r="I104" s="43">
        <v>1199</v>
      </c>
      <c r="J104" s="44">
        <v>0.15</v>
      </c>
      <c r="K104" s="43">
        <v>2038</v>
      </c>
      <c r="L104" s="43">
        <v>530</v>
      </c>
      <c r="M104" s="45">
        <v>4</v>
      </c>
    </row>
    <row r="105" spans="1:13" ht="14.4">
      <c r="A105" s="39" t="s">
        <v>142</v>
      </c>
      <c r="B105" s="41">
        <v>45911</v>
      </c>
      <c r="C105" s="39" t="s">
        <v>45</v>
      </c>
      <c r="D105" s="39" t="s">
        <v>21</v>
      </c>
      <c r="E105" s="39" t="s">
        <v>22</v>
      </c>
      <c r="F105" s="39" t="s">
        <v>46</v>
      </c>
      <c r="G105" s="39" t="s">
        <v>33</v>
      </c>
      <c r="H105" s="42">
        <v>4</v>
      </c>
      <c r="I105" s="43">
        <v>899</v>
      </c>
      <c r="J105" s="44">
        <v>0</v>
      </c>
      <c r="K105" s="43">
        <v>3596</v>
      </c>
      <c r="L105" s="43">
        <v>791</v>
      </c>
      <c r="M105" s="45">
        <v>5</v>
      </c>
    </row>
    <row r="106" spans="1:13" ht="14.4">
      <c r="A106" s="39" t="s">
        <v>143</v>
      </c>
      <c r="B106" s="41">
        <v>45769</v>
      </c>
      <c r="C106" s="39" t="s">
        <v>14</v>
      </c>
      <c r="D106" s="39" t="s">
        <v>15</v>
      </c>
      <c r="E106" s="39" t="s">
        <v>16</v>
      </c>
      <c r="F106" s="39" t="s">
        <v>17</v>
      </c>
      <c r="G106" s="39" t="s">
        <v>18</v>
      </c>
      <c r="H106" s="42">
        <v>1</v>
      </c>
      <c r="I106" s="43">
        <v>599</v>
      </c>
      <c r="J106" s="44">
        <v>0.05</v>
      </c>
      <c r="K106" s="43">
        <v>569</v>
      </c>
      <c r="L106" s="43">
        <v>171</v>
      </c>
      <c r="M106" s="45">
        <v>3</v>
      </c>
    </row>
    <row r="107" spans="1:13" ht="14.4">
      <c r="A107" s="39" t="s">
        <v>144</v>
      </c>
      <c r="B107" s="41">
        <v>45967</v>
      </c>
      <c r="C107" s="39" t="s">
        <v>20</v>
      </c>
      <c r="D107" s="39" t="s">
        <v>21</v>
      </c>
      <c r="E107" s="39" t="s">
        <v>224</v>
      </c>
      <c r="F107" s="39" t="s">
        <v>23</v>
      </c>
      <c r="G107" s="39" t="s">
        <v>24</v>
      </c>
      <c r="H107" s="42">
        <v>3</v>
      </c>
      <c r="I107" s="43">
        <v>349</v>
      </c>
      <c r="J107" s="44">
        <v>0.1</v>
      </c>
      <c r="K107" s="43">
        <v>942</v>
      </c>
      <c r="L107" s="43">
        <v>301</v>
      </c>
      <c r="M107" s="45">
        <v>4</v>
      </c>
    </row>
    <row r="108" spans="1:13" ht="14.4">
      <c r="A108" s="39" t="s">
        <v>145</v>
      </c>
      <c r="B108" s="41">
        <v>45825</v>
      </c>
      <c r="C108" s="39" t="s">
        <v>26</v>
      </c>
      <c r="D108" s="39" t="s">
        <v>27</v>
      </c>
      <c r="E108" s="39" t="s">
        <v>225</v>
      </c>
      <c r="F108" s="39" t="s">
        <v>28</v>
      </c>
      <c r="G108" s="39" t="s">
        <v>29</v>
      </c>
      <c r="H108" s="42">
        <v>5</v>
      </c>
      <c r="I108" s="43">
        <v>1299</v>
      </c>
      <c r="J108" s="44">
        <v>0.15</v>
      </c>
      <c r="K108" s="43">
        <v>5521</v>
      </c>
      <c r="L108" s="43">
        <v>1546</v>
      </c>
      <c r="M108" s="45">
        <v>5</v>
      </c>
    </row>
    <row r="109" spans="1:13" ht="14.4">
      <c r="A109" s="39" t="s">
        <v>146</v>
      </c>
      <c r="B109" s="41">
        <v>45658</v>
      </c>
      <c r="C109" s="39" t="s">
        <v>31</v>
      </c>
      <c r="D109" s="39" t="s">
        <v>15</v>
      </c>
      <c r="E109" s="39" t="s">
        <v>22</v>
      </c>
      <c r="F109" s="39" t="s">
        <v>32</v>
      </c>
      <c r="G109" s="39" t="s">
        <v>33</v>
      </c>
      <c r="H109" s="42">
        <v>2</v>
      </c>
      <c r="I109" s="43">
        <v>1899</v>
      </c>
      <c r="J109" s="44">
        <v>0</v>
      </c>
      <c r="K109" s="43">
        <v>3798</v>
      </c>
      <c r="L109" s="43">
        <v>580</v>
      </c>
      <c r="M109" s="45">
        <v>3</v>
      </c>
    </row>
    <row r="110" spans="1:13" ht="14.4">
      <c r="A110" s="39" t="s">
        <v>147</v>
      </c>
      <c r="B110" s="41">
        <v>45881</v>
      </c>
      <c r="C110" s="39" t="s">
        <v>35</v>
      </c>
      <c r="D110" s="39" t="s">
        <v>21</v>
      </c>
      <c r="E110" s="39" t="s">
        <v>16</v>
      </c>
      <c r="F110" s="39" t="s">
        <v>36</v>
      </c>
      <c r="G110" s="39" t="s">
        <v>33</v>
      </c>
      <c r="H110" s="42">
        <v>4</v>
      </c>
      <c r="I110" s="43">
        <v>1499</v>
      </c>
      <c r="J110" s="44">
        <v>0.05</v>
      </c>
      <c r="K110" s="43">
        <v>5696</v>
      </c>
      <c r="L110" s="43">
        <v>1367</v>
      </c>
      <c r="M110" s="45">
        <v>4</v>
      </c>
    </row>
    <row r="111" spans="1:13" ht="14.4">
      <c r="A111" s="39" t="s">
        <v>148</v>
      </c>
      <c r="B111" s="41">
        <v>45739</v>
      </c>
      <c r="C111" s="39" t="s">
        <v>38</v>
      </c>
      <c r="D111" s="39" t="s">
        <v>27</v>
      </c>
      <c r="E111" s="39" t="s">
        <v>22</v>
      </c>
      <c r="F111" s="39" t="s">
        <v>39</v>
      </c>
      <c r="G111" s="39" t="s">
        <v>18</v>
      </c>
      <c r="H111" s="42">
        <v>1</v>
      </c>
      <c r="I111" s="43">
        <v>1599</v>
      </c>
      <c r="J111" s="44">
        <v>0.1</v>
      </c>
      <c r="K111" s="43">
        <v>1439</v>
      </c>
      <c r="L111" s="43">
        <v>389</v>
      </c>
      <c r="M111" s="45">
        <v>5</v>
      </c>
    </row>
    <row r="112" spans="1:13" ht="14.4">
      <c r="A112" s="39" t="s">
        <v>149</v>
      </c>
      <c r="B112" s="41">
        <v>45937</v>
      </c>
      <c r="C112" s="39" t="s">
        <v>41</v>
      </c>
      <c r="D112" s="39" t="s">
        <v>42</v>
      </c>
      <c r="E112" s="39" t="s">
        <v>16</v>
      </c>
      <c r="F112" s="39" t="s">
        <v>43</v>
      </c>
      <c r="G112" s="39" t="s">
        <v>29</v>
      </c>
      <c r="H112" s="42">
        <v>3</v>
      </c>
      <c r="I112" s="43">
        <v>1199</v>
      </c>
      <c r="J112" s="44">
        <v>0.15</v>
      </c>
      <c r="K112" s="43">
        <v>3057</v>
      </c>
      <c r="L112" s="43">
        <v>795</v>
      </c>
      <c r="M112" s="45">
        <v>3</v>
      </c>
    </row>
    <row r="113" spans="1:13" ht="14.4">
      <c r="A113" s="39" t="s">
        <v>150</v>
      </c>
      <c r="B113" s="41">
        <v>45795</v>
      </c>
      <c r="C113" s="39" t="s">
        <v>45</v>
      </c>
      <c r="D113" s="39" t="s">
        <v>21</v>
      </c>
      <c r="E113" s="39" t="s">
        <v>224</v>
      </c>
      <c r="F113" s="39" t="s">
        <v>46</v>
      </c>
      <c r="G113" s="39" t="s">
        <v>33</v>
      </c>
      <c r="H113" s="42">
        <v>5</v>
      </c>
      <c r="I113" s="43">
        <v>899</v>
      </c>
      <c r="J113" s="44">
        <v>0</v>
      </c>
      <c r="K113" s="43">
        <v>4495</v>
      </c>
      <c r="L113" s="43">
        <v>989</v>
      </c>
      <c r="M113" s="45">
        <v>4</v>
      </c>
    </row>
    <row r="114" spans="1:13" ht="14.4">
      <c r="A114" s="39" t="s">
        <v>151</v>
      </c>
      <c r="B114" s="41">
        <v>45993</v>
      </c>
      <c r="C114" s="39" t="s">
        <v>14</v>
      </c>
      <c r="D114" s="39" t="s">
        <v>15</v>
      </c>
      <c r="E114" s="39" t="s">
        <v>225</v>
      </c>
      <c r="F114" s="39" t="s">
        <v>17</v>
      </c>
      <c r="G114" s="39" t="s">
        <v>18</v>
      </c>
      <c r="H114" s="42">
        <v>2</v>
      </c>
      <c r="I114" s="43">
        <v>599</v>
      </c>
      <c r="J114" s="44">
        <v>0.05</v>
      </c>
      <c r="K114" s="43">
        <v>1138</v>
      </c>
      <c r="L114" s="43">
        <v>341</v>
      </c>
      <c r="M114" s="45">
        <v>5</v>
      </c>
    </row>
    <row r="115" spans="1:13" ht="14.4">
      <c r="A115" s="39" t="s">
        <v>152</v>
      </c>
      <c r="B115" s="41">
        <v>45851</v>
      </c>
      <c r="C115" s="39" t="s">
        <v>20</v>
      </c>
      <c r="D115" s="39" t="s">
        <v>21</v>
      </c>
      <c r="E115" s="39" t="s">
        <v>22</v>
      </c>
      <c r="F115" s="39" t="s">
        <v>23</v>
      </c>
      <c r="G115" s="39" t="s">
        <v>24</v>
      </c>
      <c r="H115" s="42">
        <v>4</v>
      </c>
      <c r="I115" s="43">
        <v>349</v>
      </c>
      <c r="J115" s="44">
        <v>0.1</v>
      </c>
      <c r="K115" s="43">
        <v>1256</v>
      </c>
      <c r="L115" s="43">
        <v>402</v>
      </c>
      <c r="M115" s="45">
        <v>3</v>
      </c>
    </row>
    <row r="116" spans="1:13" ht="14.4">
      <c r="A116" s="39" t="s">
        <v>153</v>
      </c>
      <c r="B116" s="41">
        <v>45712</v>
      </c>
      <c r="C116" s="39" t="s">
        <v>26</v>
      </c>
      <c r="D116" s="39" t="s">
        <v>27</v>
      </c>
      <c r="E116" s="39" t="s">
        <v>16</v>
      </c>
      <c r="F116" s="39" t="s">
        <v>28</v>
      </c>
      <c r="G116" s="39" t="s">
        <v>29</v>
      </c>
      <c r="H116" s="42">
        <v>1</v>
      </c>
      <c r="I116" s="43">
        <v>1299</v>
      </c>
      <c r="J116" s="44">
        <v>0.15</v>
      </c>
      <c r="K116" s="43">
        <v>1104</v>
      </c>
      <c r="L116" s="43">
        <v>309</v>
      </c>
      <c r="M116" s="45">
        <v>4</v>
      </c>
    </row>
    <row r="117" spans="1:13" ht="14.4">
      <c r="A117" s="39" t="s">
        <v>154</v>
      </c>
      <c r="B117" s="41">
        <v>45908</v>
      </c>
      <c r="C117" s="39" t="s">
        <v>31</v>
      </c>
      <c r="D117" s="39" t="s">
        <v>15</v>
      </c>
      <c r="E117" s="39" t="s">
        <v>22</v>
      </c>
      <c r="F117" s="39" t="s">
        <v>32</v>
      </c>
      <c r="G117" s="39" t="s">
        <v>33</v>
      </c>
      <c r="H117" s="42">
        <v>3</v>
      </c>
      <c r="I117" s="43">
        <v>1899</v>
      </c>
      <c r="J117" s="44">
        <v>0</v>
      </c>
      <c r="K117" s="43">
        <v>5697</v>
      </c>
      <c r="L117" s="43">
        <v>1139</v>
      </c>
      <c r="M117" s="45">
        <v>5</v>
      </c>
    </row>
    <row r="118" spans="1:13" ht="14.4">
      <c r="A118" s="39" t="s">
        <v>155</v>
      </c>
      <c r="B118" s="41">
        <v>45766</v>
      </c>
      <c r="C118" s="39" t="s">
        <v>35</v>
      </c>
      <c r="D118" s="39" t="s">
        <v>21</v>
      </c>
      <c r="E118" s="39" t="s">
        <v>16</v>
      </c>
      <c r="F118" s="39" t="s">
        <v>36</v>
      </c>
      <c r="G118" s="39" t="s">
        <v>33</v>
      </c>
      <c r="H118" s="42">
        <v>5</v>
      </c>
      <c r="I118" s="43">
        <v>1499</v>
      </c>
      <c r="J118" s="44">
        <v>0.05</v>
      </c>
      <c r="K118" s="43">
        <v>7120</v>
      </c>
      <c r="L118" s="43">
        <v>1529</v>
      </c>
      <c r="M118" s="45">
        <v>3</v>
      </c>
    </row>
    <row r="119" spans="1:13" ht="14.4">
      <c r="A119" s="39" t="s">
        <v>156</v>
      </c>
      <c r="B119" s="41">
        <v>45964</v>
      </c>
      <c r="C119" s="39" t="s">
        <v>38</v>
      </c>
      <c r="D119" s="39" t="s">
        <v>27</v>
      </c>
      <c r="E119" s="39" t="s">
        <v>224</v>
      </c>
      <c r="F119" s="39" t="s">
        <v>39</v>
      </c>
      <c r="G119" s="39" t="s">
        <v>18</v>
      </c>
      <c r="H119" s="42">
        <v>2</v>
      </c>
      <c r="I119" s="43">
        <v>1599</v>
      </c>
      <c r="J119" s="44">
        <v>0.1</v>
      </c>
      <c r="K119" s="43">
        <v>2878</v>
      </c>
      <c r="L119" s="43">
        <v>777</v>
      </c>
      <c r="M119" s="45">
        <v>4</v>
      </c>
    </row>
    <row r="120" spans="1:13" ht="14.4">
      <c r="A120" s="39" t="s">
        <v>157</v>
      </c>
      <c r="B120" s="41">
        <v>45822</v>
      </c>
      <c r="C120" s="39" t="s">
        <v>41</v>
      </c>
      <c r="D120" s="39" t="s">
        <v>42</v>
      </c>
      <c r="E120" s="39" t="s">
        <v>225</v>
      </c>
      <c r="F120" s="39" t="s">
        <v>43</v>
      </c>
      <c r="G120" s="39" t="s">
        <v>29</v>
      </c>
      <c r="H120" s="42">
        <v>4</v>
      </c>
      <c r="I120" s="43">
        <v>1199</v>
      </c>
      <c r="J120" s="44">
        <v>0.15</v>
      </c>
      <c r="K120" s="43">
        <v>4077</v>
      </c>
      <c r="L120" s="43">
        <v>1060</v>
      </c>
      <c r="M120" s="45">
        <v>5</v>
      </c>
    </row>
    <row r="121" spans="1:13" ht="14.4">
      <c r="A121" s="39" t="s">
        <v>158</v>
      </c>
      <c r="B121" s="41">
        <v>45682</v>
      </c>
      <c r="C121" s="39" t="s">
        <v>45</v>
      </c>
      <c r="D121" s="39" t="s">
        <v>21</v>
      </c>
      <c r="E121" s="39" t="s">
        <v>22</v>
      </c>
      <c r="F121" s="39" t="s">
        <v>46</v>
      </c>
      <c r="G121" s="39" t="s">
        <v>33</v>
      </c>
      <c r="H121" s="42">
        <v>1</v>
      </c>
      <c r="I121" s="43">
        <v>899</v>
      </c>
      <c r="J121" s="44">
        <v>0</v>
      </c>
      <c r="K121" s="43">
        <v>899</v>
      </c>
      <c r="L121" s="43">
        <v>198</v>
      </c>
      <c r="M121" s="45">
        <v>3</v>
      </c>
    </row>
    <row r="122" spans="1:13" ht="14.4">
      <c r="A122" s="39" t="s">
        <v>48</v>
      </c>
      <c r="B122" s="41">
        <v>45964</v>
      </c>
      <c r="C122" s="39" t="s">
        <v>20</v>
      </c>
      <c r="D122" s="39" t="s">
        <v>21</v>
      </c>
      <c r="E122" s="39" t="s">
        <v>224</v>
      </c>
      <c r="F122" s="39" t="s">
        <v>23</v>
      </c>
      <c r="G122" s="39" t="s">
        <v>24</v>
      </c>
      <c r="H122" s="42">
        <v>1</v>
      </c>
      <c r="I122" s="43">
        <v>349</v>
      </c>
      <c r="J122" s="44">
        <v>0.1</v>
      </c>
      <c r="K122" s="43">
        <v>314</v>
      </c>
      <c r="L122" s="43">
        <v>100</v>
      </c>
      <c r="M122" s="45">
        <v>4</v>
      </c>
    </row>
    <row r="123" spans="1:13" ht="14.4">
      <c r="A123" s="39" t="s">
        <v>83</v>
      </c>
      <c r="B123" s="41">
        <v>45757</v>
      </c>
      <c r="C123" s="39" t="s">
        <v>35</v>
      </c>
      <c r="D123" s="39" t="s">
        <v>21</v>
      </c>
      <c r="E123" s="39" t="s">
        <v>16</v>
      </c>
      <c r="F123" s="39" t="s">
        <v>36</v>
      </c>
      <c r="G123" s="39" t="s">
        <v>33</v>
      </c>
      <c r="H123" s="42">
        <v>1</v>
      </c>
      <c r="I123" s="43">
        <v>1499</v>
      </c>
      <c r="J123" s="44">
        <v>0.05</v>
      </c>
      <c r="K123" s="43">
        <v>1424</v>
      </c>
      <c r="L123" s="43">
        <v>162</v>
      </c>
      <c r="M123" s="4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82FA7-9B07-4707-B97F-ED59E36ABBFB}">
  <dimension ref="A2:F20"/>
  <sheetViews>
    <sheetView topLeftCell="A3" zoomScale="90" zoomScaleNormal="90" workbookViewId="0">
      <selection activeCell="C27" sqref="C27"/>
    </sheetView>
  </sheetViews>
  <sheetFormatPr defaultRowHeight="13.8"/>
  <cols>
    <col min="1" max="1" width="11.296875" bestFit="1" customWidth="1"/>
    <col min="2" max="2" width="14.19921875" bestFit="1" customWidth="1"/>
    <col min="3" max="3" width="10.69921875" bestFit="1" customWidth="1"/>
    <col min="4" max="4" width="13.3984375" bestFit="1" customWidth="1"/>
    <col min="5" max="5" width="64.09765625" customWidth="1"/>
    <col min="6" max="6" width="69.796875" customWidth="1"/>
  </cols>
  <sheetData>
    <row r="2" spans="1:6">
      <c r="E2" s="21"/>
      <c r="F2" s="21"/>
    </row>
    <row r="3" spans="1:6">
      <c r="A3" s="14" t="s">
        <v>5</v>
      </c>
      <c r="B3" t="s">
        <v>166</v>
      </c>
      <c r="C3" t="s">
        <v>160</v>
      </c>
      <c r="D3" t="s">
        <v>175</v>
      </c>
      <c r="E3" s="21" t="s">
        <v>167</v>
      </c>
      <c r="F3" s="21" t="s">
        <v>21</v>
      </c>
    </row>
    <row r="4" spans="1:6">
      <c r="A4" s="15" t="s">
        <v>27</v>
      </c>
      <c r="B4" s="16">
        <v>114444</v>
      </c>
      <c r="C4" s="16">
        <v>30858</v>
      </c>
      <c r="D4" s="22">
        <v>0.26963405683128866</v>
      </c>
      <c r="E4" s="21"/>
      <c r="F4" s="21"/>
    </row>
    <row r="5" spans="1:6">
      <c r="A5" s="15" t="s">
        <v>42</v>
      </c>
      <c r="B5" s="16">
        <v>45861</v>
      </c>
      <c r="C5" s="16">
        <v>11745</v>
      </c>
      <c r="D5" s="22">
        <v>0.25609995420945902</v>
      </c>
      <c r="E5" s="21" t="s">
        <v>168</v>
      </c>
      <c r="F5" s="21" t="s">
        <v>42</v>
      </c>
    </row>
    <row r="6" spans="1:6">
      <c r="A6" s="15" t="s">
        <v>21</v>
      </c>
      <c r="B6" s="16">
        <v>118668</v>
      </c>
      <c r="C6" s="16">
        <v>27903</v>
      </c>
      <c r="D6" s="22">
        <v>0.2351349984831631</v>
      </c>
      <c r="E6" s="21"/>
      <c r="F6" s="21"/>
    </row>
    <row r="7" spans="1:6">
      <c r="A7" s="15" t="s">
        <v>15</v>
      </c>
      <c r="B7" s="16">
        <v>111060</v>
      </c>
      <c r="C7" s="16">
        <v>24054</v>
      </c>
      <c r="D7" s="22">
        <v>0.21658562938951917</v>
      </c>
      <c r="E7" s="21" t="s">
        <v>169</v>
      </c>
      <c r="F7" s="21" t="s">
        <v>27</v>
      </c>
    </row>
    <row r="8" spans="1:6">
      <c r="A8" s="15" t="s">
        <v>165</v>
      </c>
      <c r="B8" s="16">
        <v>390033</v>
      </c>
      <c r="C8" s="16">
        <v>94560</v>
      </c>
      <c r="D8" s="22">
        <v>0.24244102422102745</v>
      </c>
      <c r="E8" s="21"/>
      <c r="F8" s="21"/>
    </row>
    <row r="9" spans="1:6">
      <c r="E9" s="21" t="s">
        <v>170</v>
      </c>
      <c r="F9" s="21" t="s">
        <v>171</v>
      </c>
    </row>
    <row r="10" spans="1:6">
      <c r="E10" s="18"/>
    </row>
    <row r="13" spans="1:6">
      <c r="E13" s="21" t="s">
        <v>172</v>
      </c>
      <c r="F13" s="21" t="s">
        <v>27</v>
      </c>
    </row>
    <row r="14" spans="1:6">
      <c r="F14" s="21"/>
    </row>
    <row r="15" spans="1:6">
      <c r="E15" s="21" t="s">
        <v>173</v>
      </c>
      <c r="F15" s="21" t="s">
        <v>15</v>
      </c>
    </row>
    <row r="16" spans="1:6">
      <c r="F16" s="21"/>
    </row>
    <row r="17" spans="5:6" ht="30.6" customHeight="1">
      <c r="E17" s="21" t="s">
        <v>174</v>
      </c>
      <c r="F17" s="30" t="s">
        <v>176</v>
      </c>
    </row>
    <row r="18" spans="5:6">
      <c r="F18" s="24"/>
    </row>
    <row r="19" spans="5:6">
      <c r="F19" s="24"/>
    </row>
    <row r="20" spans="5:6">
      <c r="F20" s="2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C1A5-7ED5-4F06-A34B-69646D95FCBC}">
  <dimension ref="A3:J14"/>
  <sheetViews>
    <sheetView workbookViewId="0">
      <selection activeCell="A3" sqref="A3"/>
      <pivotSelection pane="bottomRight" activeRow="3" previousRow="3" click="2" r:id="rId1">
        <pivotArea field="5" type="button" dataOnly="0" labelOnly="1" outline="0" axis="axisRow" fieldPosition="0"/>
      </pivotSelection>
    </sheetView>
  </sheetViews>
  <sheetFormatPr defaultRowHeight="13.8"/>
  <cols>
    <col min="1" max="1" width="13.796875" bestFit="1" customWidth="1"/>
    <col min="2" max="2" width="13.69921875" bestFit="1" customWidth="1"/>
    <col min="3" max="3" width="10.3984375" bestFit="1" customWidth="1"/>
    <col min="4" max="4" width="8.796875" bestFit="1" customWidth="1"/>
    <col min="5" max="5" width="16.3984375" bestFit="1" customWidth="1"/>
    <col min="6" max="6" width="5.296875" customWidth="1"/>
    <col min="9" max="9" width="41.8984375" customWidth="1"/>
    <col min="10" max="10" width="54.69921875" customWidth="1"/>
  </cols>
  <sheetData>
    <row r="3" spans="1:10" ht="21" customHeight="1">
      <c r="A3" s="14" t="s">
        <v>187</v>
      </c>
      <c r="B3" t="s">
        <v>159</v>
      </c>
      <c r="C3" t="s">
        <v>160</v>
      </c>
      <c r="D3" t="s">
        <v>188</v>
      </c>
      <c r="E3" t="s">
        <v>189</v>
      </c>
      <c r="F3" s="27" t="s">
        <v>177</v>
      </c>
      <c r="G3" s="27"/>
      <c r="H3" s="27"/>
      <c r="I3" s="27"/>
      <c r="J3" s="26" t="s">
        <v>182</v>
      </c>
    </row>
    <row r="4" spans="1:10" ht="19.2" customHeight="1">
      <c r="A4" s="15" t="s">
        <v>23</v>
      </c>
      <c r="B4" s="16">
        <v>14133</v>
      </c>
      <c r="C4" s="16">
        <v>4161</v>
      </c>
      <c r="D4" s="20">
        <v>45</v>
      </c>
      <c r="E4" s="22">
        <v>0.29441732116323499</v>
      </c>
      <c r="F4" s="28" t="s">
        <v>178</v>
      </c>
      <c r="G4" s="28"/>
      <c r="H4" s="28"/>
      <c r="I4" s="28"/>
      <c r="J4" s="26" t="s">
        <v>183</v>
      </c>
    </row>
    <row r="5" spans="1:10" ht="16.8" customHeight="1">
      <c r="A5" s="15" t="s">
        <v>17</v>
      </c>
      <c r="B5" s="16">
        <v>25605</v>
      </c>
      <c r="C5" s="16">
        <v>7323</v>
      </c>
      <c r="D5" s="20">
        <v>45</v>
      </c>
      <c r="E5" s="22">
        <v>0.28599882835383716</v>
      </c>
      <c r="F5" s="27" t="s">
        <v>179</v>
      </c>
      <c r="G5" s="27"/>
      <c r="H5" s="27"/>
      <c r="I5" s="27"/>
      <c r="J5" s="26" t="s">
        <v>184</v>
      </c>
    </row>
    <row r="6" spans="1:10" ht="15.6" customHeight="1">
      <c r="A6" s="15" t="s">
        <v>28</v>
      </c>
      <c r="B6" s="16">
        <v>49686</v>
      </c>
      <c r="C6" s="16">
        <v>13551</v>
      </c>
      <c r="D6" s="20">
        <v>45</v>
      </c>
      <c r="E6" s="22">
        <v>0.27273276174375077</v>
      </c>
      <c r="F6" s="27" t="s">
        <v>180</v>
      </c>
      <c r="G6" s="27"/>
      <c r="H6" s="27"/>
      <c r="I6" s="27"/>
      <c r="J6" s="26" t="s">
        <v>185</v>
      </c>
    </row>
    <row r="7" spans="1:10" ht="30" customHeight="1">
      <c r="A7" s="15" t="s">
        <v>39</v>
      </c>
      <c r="B7" s="16">
        <v>64758</v>
      </c>
      <c r="C7" s="16">
        <v>17307</v>
      </c>
      <c r="D7" s="20">
        <v>45</v>
      </c>
      <c r="E7" s="22">
        <v>0.26725655517465025</v>
      </c>
      <c r="F7" s="27" t="s">
        <v>181</v>
      </c>
      <c r="G7" s="27"/>
      <c r="H7" s="27"/>
      <c r="I7" s="27"/>
      <c r="J7" s="26" t="s">
        <v>186</v>
      </c>
    </row>
    <row r="8" spans="1:10">
      <c r="A8" s="15" t="s">
        <v>43</v>
      </c>
      <c r="B8" s="16">
        <v>45861</v>
      </c>
      <c r="C8" s="16">
        <v>11745</v>
      </c>
      <c r="D8" s="20">
        <v>45</v>
      </c>
      <c r="E8" s="22">
        <v>0.25609995420945902</v>
      </c>
    </row>
    <row r="9" spans="1:10">
      <c r="A9" s="15" t="s">
        <v>36</v>
      </c>
      <c r="B9" s="16">
        <v>64080</v>
      </c>
      <c r="C9" s="16">
        <v>15021</v>
      </c>
      <c r="D9" s="20">
        <v>45</v>
      </c>
      <c r="E9" s="22">
        <v>0.23441011235955056</v>
      </c>
    </row>
    <row r="10" spans="1:10">
      <c r="A10" s="15" t="s">
        <v>46</v>
      </c>
      <c r="B10" s="16">
        <v>40455</v>
      </c>
      <c r="C10" s="16">
        <v>8721</v>
      </c>
      <c r="D10" s="20">
        <v>45</v>
      </c>
      <c r="E10" s="22">
        <v>0.21557285873192436</v>
      </c>
    </row>
    <row r="11" spans="1:10">
      <c r="A11" s="15" t="s">
        <v>32</v>
      </c>
      <c r="B11" s="16">
        <v>85455</v>
      </c>
      <c r="C11" s="16">
        <v>16731</v>
      </c>
      <c r="D11" s="20">
        <v>45</v>
      </c>
      <c r="E11" s="22">
        <v>0.19578725645076356</v>
      </c>
      <c r="G11" s="23" t="s">
        <v>190</v>
      </c>
      <c r="H11" s="23"/>
      <c r="I11" s="23"/>
      <c r="J11" s="21" t="s">
        <v>194</v>
      </c>
    </row>
    <row r="12" spans="1:10">
      <c r="A12" s="15" t="s">
        <v>165</v>
      </c>
      <c r="B12" s="16">
        <v>390033</v>
      </c>
      <c r="C12" s="16">
        <v>94560</v>
      </c>
      <c r="D12" s="20">
        <v>360</v>
      </c>
      <c r="E12" s="22">
        <v>0.24244102422102745</v>
      </c>
      <c r="G12" s="23" t="s">
        <v>191</v>
      </c>
      <c r="H12" s="23"/>
      <c r="I12" s="23"/>
      <c r="J12" s="21" t="s">
        <v>195</v>
      </c>
    </row>
    <row r="13" spans="1:10" ht="23.4" customHeight="1">
      <c r="G13" s="23" t="s">
        <v>192</v>
      </c>
      <c r="H13" s="23"/>
      <c r="I13" s="23"/>
      <c r="J13" s="25" t="s">
        <v>196</v>
      </c>
    </row>
    <row r="14" spans="1:10">
      <c r="G14" s="23" t="s">
        <v>193</v>
      </c>
      <c r="H14" s="23"/>
      <c r="I14" s="23"/>
      <c r="J14" s="21" t="s">
        <v>23</v>
      </c>
    </row>
  </sheetData>
  <mergeCells count="8">
    <mergeCell ref="G12:I12"/>
    <mergeCell ref="G13:I13"/>
    <mergeCell ref="G14:I14"/>
    <mergeCell ref="F3:I3"/>
    <mergeCell ref="F5:I5"/>
    <mergeCell ref="F6:I6"/>
    <mergeCell ref="F7:I7"/>
    <mergeCell ref="G11:I1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D224-5500-4CEA-94B0-790737F77E52}">
  <dimension ref="A3:I17"/>
  <sheetViews>
    <sheetView topLeftCell="A2" workbookViewId="0">
      <selection activeCell="D21" sqref="D21"/>
    </sheetView>
  </sheetViews>
  <sheetFormatPr defaultRowHeight="13.8"/>
  <cols>
    <col min="1" max="1" width="11" bestFit="1" customWidth="1"/>
    <col min="2" max="2" width="13.69921875" bestFit="1" customWidth="1"/>
    <col min="3" max="3" width="10.3984375" bestFit="1" customWidth="1"/>
    <col min="4" max="4" width="6.8984375" bestFit="1" customWidth="1"/>
    <col min="6" max="6" width="8.69921875" customWidth="1"/>
    <col min="7" max="7" width="8.796875" hidden="1" customWidth="1"/>
    <col min="8" max="8" width="52.19921875" customWidth="1"/>
    <col min="9" max="9" width="71.5" customWidth="1"/>
    <col min="12" max="12" width="15.5" customWidth="1"/>
  </cols>
  <sheetData>
    <row r="3" spans="1:9">
      <c r="A3" s="14" t="s">
        <v>210</v>
      </c>
      <c r="B3" t="s">
        <v>159</v>
      </c>
      <c r="C3" t="s">
        <v>160</v>
      </c>
      <c r="D3" t="s">
        <v>209</v>
      </c>
    </row>
    <row r="4" spans="1:9">
      <c r="A4" s="15" t="s">
        <v>211</v>
      </c>
      <c r="B4" s="16">
        <v>390033</v>
      </c>
      <c r="C4" s="16">
        <v>94560</v>
      </c>
      <c r="D4" s="19">
        <v>120</v>
      </c>
      <c r="H4" s="21" t="s">
        <v>212</v>
      </c>
      <c r="I4" s="21" t="s">
        <v>217</v>
      </c>
    </row>
    <row r="5" spans="1:9">
      <c r="A5" s="29" t="s">
        <v>197</v>
      </c>
      <c r="B5" s="16">
        <v>41970</v>
      </c>
      <c r="C5" s="16">
        <v>8124</v>
      </c>
      <c r="D5" s="19">
        <v>10</v>
      </c>
      <c r="H5" s="21" t="s">
        <v>213</v>
      </c>
      <c r="I5" s="21" t="s">
        <v>218</v>
      </c>
    </row>
    <row r="6" spans="1:9">
      <c r="A6" s="29" t="s">
        <v>198</v>
      </c>
      <c r="B6" s="16">
        <v>31849</v>
      </c>
      <c r="C6" s="16">
        <v>8612</v>
      </c>
      <c r="D6" s="19">
        <v>10</v>
      </c>
      <c r="H6" s="21" t="s">
        <v>214</v>
      </c>
      <c r="I6" s="21" t="s">
        <v>219</v>
      </c>
    </row>
    <row r="7" spans="1:9">
      <c r="A7" s="29" t="s">
        <v>199</v>
      </c>
      <c r="B7" s="16">
        <v>26297</v>
      </c>
      <c r="C7" s="16">
        <v>7336</v>
      </c>
      <c r="D7" s="19">
        <v>10</v>
      </c>
      <c r="H7" s="21" t="s">
        <v>215</v>
      </c>
      <c r="I7" s="21" t="s">
        <v>220</v>
      </c>
    </row>
    <row r="8" spans="1:9" ht="27.6">
      <c r="A8" s="29" t="s">
        <v>200</v>
      </c>
      <c r="B8" s="16">
        <v>29895</v>
      </c>
      <c r="C8" s="16">
        <v>6968</v>
      </c>
      <c r="D8" s="19">
        <v>10</v>
      </c>
      <c r="H8" s="21" t="s">
        <v>216</v>
      </c>
      <c r="I8" s="30" t="s">
        <v>221</v>
      </c>
    </row>
    <row r="9" spans="1:9">
      <c r="A9" s="29" t="s">
        <v>201</v>
      </c>
      <c r="B9" s="16">
        <v>41970</v>
      </c>
      <c r="C9" s="16">
        <v>8664</v>
      </c>
      <c r="D9" s="19">
        <v>10</v>
      </c>
    </row>
    <row r="10" spans="1:9">
      <c r="A10" s="29" t="s">
        <v>202</v>
      </c>
      <c r="B10" s="16">
        <v>31849</v>
      </c>
      <c r="C10" s="16">
        <v>8612</v>
      </c>
      <c r="D10" s="19">
        <v>10</v>
      </c>
    </row>
    <row r="11" spans="1:9">
      <c r="A11" s="29" t="s">
        <v>203</v>
      </c>
      <c r="B11" s="16">
        <v>26297</v>
      </c>
      <c r="C11" s="16">
        <v>6796</v>
      </c>
      <c r="D11" s="19">
        <v>10</v>
      </c>
    </row>
    <row r="12" spans="1:9">
      <c r="A12" s="29" t="s">
        <v>204</v>
      </c>
      <c r="B12" s="16">
        <v>29895</v>
      </c>
      <c r="C12" s="16">
        <v>7688</v>
      </c>
      <c r="D12" s="19">
        <v>10</v>
      </c>
    </row>
    <row r="13" spans="1:9">
      <c r="A13" s="29" t="s">
        <v>205</v>
      </c>
      <c r="B13" s="16">
        <v>41970</v>
      </c>
      <c r="C13" s="16">
        <v>8664</v>
      </c>
      <c r="D13" s="19">
        <v>10</v>
      </c>
    </row>
    <row r="14" spans="1:9">
      <c r="A14" s="29" t="s">
        <v>206</v>
      </c>
      <c r="B14" s="16">
        <v>31849</v>
      </c>
      <c r="C14" s="16">
        <v>8072</v>
      </c>
      <c r="D14" s="19">
        <v>10</v>
      </c>
    </row>
    <row r="15" spans="1:9">
      <c r="A15" s="29" t="s">
        <v>207</v>
      </c>
      <c r="B15" s="16">
        <v>26297</v>
      </c>
      <c r="C15" s="16">
        <v>7336</v>
      </c>
      <c r="D15" s="19">
        <v>10</v>
      </c>
    </row>
    <row r="16" spans="1:9">
      <c r="A16" s="29" t="s">
        <v>208</v>
      </c>
      <c r="B16" s="16">
        <v>29895</v>
      </c>
      <c r="C16" s="16">
        <v>7688</v>
      </c>
      <c r="D16" s="19">
        <v>10</v>
      </c>
    </row>
    <row r="17" spans="1:4">
      <c r="A17" s="15" t="s">
        <v>165</v>
      </c>
      <c r="B17" s="16">
        <v>390033</v>
      </c>
      <c r="C17" s="16">
        <v>94560</v>
      </c>
      <c r="D17" s="19">
        <v>120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Cleaned Data</vt:lpstr>
      <vt:lpstr>Raw data</vt:lpstr>
      <vt:lpstr>Regional Analysis</vt:lpstr>
      <vt:lpstr>Product Analysis</vt:lpstr>
      <vt:lpstr>Monthly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Mahadev Nilappanwar</cp:lastModifiedBy>
  <cp:lastPrinted>2026-07-19T16:04:37Z</cp:lastPrinted>
  <dcterms:created xsi:type="dcterms:W3CDTF">2026-07-21T15:33:10Z</dcterms:created>
  <dcterms:modified xsi:type="dcterms:W3CDTF">2026-07-21T15:57:33Z</dcterms:modified>
</cp:coreProperties>
</file>